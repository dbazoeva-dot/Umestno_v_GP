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13_ncr:1_{FB072FB8-E8B5-4A6E-B664-55D95741D1CC}" xr6:coauthVersionLast="47" xr6:coauthVersionMax="47" xr10:uidLastSave="{00000000-0000-0000-0000-000000000000}"/>
  <bookViews>
    <workbookView xWindow="-96" yWindow="0" windowWidth="17472" windowHeight="20976" xr2:uid="{00000000-000D-0000-FFFF-FFFF00000000}"/>
  </bookViews>
  <sheets>
    <sheet name="sku_catalog" sheetId="1" r:id="rId1"/>
    <sheet name="rejected_sku" sheetId="2" r:id="rId2"/>
    <sheet name="source_notes" sheetId="3" r:id="rId3"/>
    <sheet name="affiliate_notes" sheetId="4" r:id="rId4"/>
    <sheet name="glossary_chec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0" i="1" l="1"/>
  <c r="S49" i="1"/>
  <c r="S36" i="1"/>
  <c r="S37" i="1"/>
  <c r="T18" i="1"/>
  <c r="S18" i="1"/>
  <c r="T17" i="1"/>
  <c r="S17" i="1"/>
  <c r="S13" i="1"/>
  <c r="L6" i="1"/>
  <c r="K6" i="1"/>
  <c r="K5" i="1"/>
</calcChain>
</file>

<file path=xl/sharedStrings.xml><?xml version="1.0" encoding="utf-8"?>
<sst xmlns="http://schemas.openxmlformats.org/spreadsheetml/2006/main" count="2051" uniqueCount="601">
  <si>
    <t>source_platform</t>
  </si>
  <si>
    <t>assortment_quality</t>
  </si>
  <si>
    <t>dimension_quality</t>
  </si>
  <si>
    <t>affiliate_potential</t>
  </si>
  <si>
    <t>link_stability</t>
  </si>
  <si>
    <t>comments</t>
  </si>
  <si>
    <t>Яндекс Маркет</t>
  </si>
  <si>
    <t>high</t>
  </si>
  <si>
    <t>medium-high</t>
  </si>
  <si>
    <t>medium</t>
  </si>
  <si>
    <t>Good for SKU breadth and product comparison; some pages expose rich JSON/images, but offer prices and seller IDs can change.</t>
  </si>
  <si>
    <t>Hoff</t>
  </si>
  <si>
    <t>Reliable structured product pages; fewer drawer-specific SKUs, but good for CPA/feed/widget mechanics and trusted retail sourcing.</t>
  </si>
  <si>
    <t>Лемана ПРО</t>
  </si>
  <si>
    <t>Strong dimension discipline and useful plastic divider/open SKUs; regional URLs can vary, prefer canonical product IDs.</t>
  </si>
  <si>
    <t>Ozon</t>
  </si>
  <si>
    <t>very high</t>
  </si>
  <si>
    <t>medium-low</t>
  </si>
  <si>
    <t>Large assortment and familiar buying behavior; data can be noisy, seller-specific and dynamic. Use manual verification before production.</t>
  </si>
  <si>
    <t>Wildberries</t>
  </si>
  <si>
    <t>Large breadth but tag/detail pages may expose incomplete dimensions; use exact detail URLs and re-check before live matching.</t>
  </si>
  <si>
    <t>Сима-ленд</t>
  </si>
  <si>
    <t>Good supplier-like pages with dimensions, articles and stable product families; useful for low-cost technical SKU library.</t>
  </si>
  <si>
    <t>ВсеИнструменты</t>
  </si>
  <si>
    <t>low-medium</t>
  </si>
  <si>
    <t>Useful backup for branded organizers and plastic baskets; many items can be out of stock.</t>
  </si>
  <si>
    <t>AliExpress</t>
  </si>
  <si>
    <t>Budget layer only; use only when dimensions are explicit and variant selection is stable.</t>
  </si>
  <si>
    <t>affiliate_mechanic</t>
  </si>
  <si>
    <t>integration_complexity</t>
  </si>
  <si>
    <t>recommended_for_mvp</t>
  </si>
  <si>
    <t>notes</t>
  </si>
  <si>
    <t>referral links / feed / API / widgets</t>
  </si>
  <si>
    <t>yes</t>
  </si>
  <si>
    <t>Official/referral mechanics and feed/API logic make it a strong MVP source; replace raw URLs with affiliate URLs later.</t>
  </si>
  <si>
    <t>CPA / feed / widget / partner links</t>
  </si>
  <si>
    <t>Direct CPA ecosystem exists; good for trusted home retail SKU subset.</t>
  </si>
  <si>
    <t>partner program / CPA</t>
  </si>
  <si>
    <t>Good trusted source and category fit; integrate after confirming category commission and link format.</t>
  </si>
  <si>
    <t>manual links / seller offers / CPA network if available</t>
  </si>
  <si>
    <t>maybe</t>
  </si>
  <si>
    <t>Good assortment, but seller-level volatility and affiliate mechanics require extra operational control.</t>
  </si>
  <si>
    <t>manual links / seller offers / CPA/Takprodam-style mechanics if available</t>
  </si>
  <si>
    <t>Good for assortment testing; use exact product IDs and keep affiliate assumptions conservative.</t>
  </si>
  <si>
    <t>supplier/wholesale relationship or manual links</t>
  </si>
  <si>
    <t>Interesting as source library and possible B2B/supplier layer; verify partner model separately.</t>
  </si>
  <si>
    <t>manual links / potential CPA or seller offer</t>
  </si>
  <si>
    <t>no</t>
  </si>
  <si>
    <t>Use as backup for missing categories; stock volatility is a concern.</t>
  </si>
  <si>
    <t>marketplace affiliate / budget link layer</t>
  </si>
  <si>
    <t>Use only as fallback/budget layer; variant ambiguity makes it weak for exact-fit promises.</t>
  </si>
  <si>
    <t>sku_id</t>
  </si>
  <si>
    <t>seller_or_brand</t>
  </si>
  <si>
    <t>product_title</t>
  </si>
  <si>
    <t>product_url</t>
  </si>
  <si>
    <t>affiliate_status</t>
  </si>
  <si>
    <t>picture_matching</t>
  </si>
  <si>
    <t>division_type</t>
  </si>
  <si>
    <t>rigidity</t>
  </si>
  <si>
    <t>storage_use_case</t>
  </si>
  <si>
    <t>width_cm</t>
  </si>
  <si>
    <t>depth_cm</t>
  </si>
  <si>
    <t>height_cm</t>
  </si>
  <si>
    <t>can_rotate</t>
  </si>
  <si>
    <t>cols</t>
  </si>
  <si>
    <t>rows</t>
  </si>
  <si>
    <t>capacity_units</t>
  </si>
  <si>
    <t>capacity_basis</t>
  </si>
  <si>
    <t>cell_width_cm</t>
  </si>
  <si>
    <t>cell_depth_cm</t>
  </si>
  <si>
    <t>color_raw</t>
  </si>
  <si>
    <t>color_normalized</t>
  </si>
  <si>
    <t>color_group</t>
  </si>
  <si>
    <t>color_confidence</t>
  </si>
  <si>
    <t>material_raw</t>
  </si>
  <si>
    <t>material_normalized</t>
  </si>
  <si>
    <t>material_group</t>
  </si>
  <si>
    <t>material_confidence</t>
  </si>
  <si>
    <t>has_lid</t>
  </si>
  <si>
    <t>has_bottom</t>
  </si>
  <si>
    <t>foldable</t>
  </si>
  <si>
    <t>adjustable</t>
  </si>
  <si>
    <t>modular</t>
  </si>
  <si>
    <t>cuttable</t>
  </si>
  <si>
    <t>price</t>
  </si>
  <si>
    <t>currency</t>
  </si>
  <si>
    <t>availability_status</t>
  </si>
  <si>
    <t>last_checked_date</t>
  </si>
  <si>
    <t>quality_notes</t>
  </si>
  <si>
    <t>fit_risk_notes</t>
  </si>
  <si>
    <t>source_confidence</t>
  </si>
  <si>
    <t>UM-SKU-001</t>
  </si>
  <si>
    <t>Доляна</t>
  </si>
  <si>
    <t>Органайзер для хранения белья «Смарт», 24 ячейки, 32x32x10 см, серый</t>
  </si>
  <si>
    <t>https://market.yandex.ru/product--organaizer-dlia-khraneniia-belia-smart-24-iacheiki-32x32x10-sm-seryi/1931470136?sku=101862246886&amp;uniqueId=779271</t>
  </si>
  <si>
    <t>direct_affiliate_available</t>
  </si>
  <si>
    <t>placeholder_cells_grey_low</t>
  </si>
  <si>
    <t>cells</t>
  </si>
  <si>
    <t>soft</t>
  </si>
  <si>
    <t>носки / нижнее белье / мелкие аксессуары</t>
  </si>
  <si>
    <t>declared_by_seller</t>
  </si>
  <si>
    <t>серый</t>
  </si>
  <si>
    <t>grey</t>
  </si>
  <si>
    <t>neutral_light</t>
  </si>
  <si>
    <t>флизелин</t>
  </si>
  <si>
    <t>nonwoven</t>
  </si>
  <si>
    <t>textile_based</t>
  </si>
  <si>
    <t>RUB</t>
  </si>
  <si>
    <t>unknown</t>
  </si>
  <si>
    <t>2026-05-04</t>
  </si>
  <si>
    <t>Размеры, материал и 24 ячейки указаны в карточке/сниппете.</t>
  </si>
  <si>
    <t>UM-SKU-002</t>
  </si>
  <si>
    <t>Органайзер для хранения белья «Нить», 24 ячейки, 32x32x10 см, серый</t>
  </si>
  <si>
    <t>носки / белье / аксессуары</t>
  </si>
  <si>
    <t>текстиль / флизелин</t>
  </si>
  <si>
    <t>Карточка заявляет 24 ячейки и 32x32x10.</t>
  </si>
  <si>
    <t>cell layout assumed 4x6; check real cell size.</t>
  </si>
  <si>
    <t>UM-SKU-003</t>
  </si>
  <si>
    <t>LaDо́m</t>
  </si>
  <si>
    <t>Органайзер для хранения белья LaDо́m, 24 ячейки, 32x32x10 см, белый</t>
  </si>
  <si>
    <t>placeholder_cells_beige_many</t>
  </si>
  <si>
    <t>semi_rigid</t>
  </si>
  <si>
    <t>белый</t>
  </si>
  <si>
    <t>white</t>
  </si>
  <si>
    <t>оксфорд / ПВХ / каркас</t>
  </si>
  <si>
    <t>pvc</t>
  </si>
  <si>
    <t>textile_plastic_composite</t>
  </si>
  <si>
    <t>Сниппет: 24 ячейки, 32x32x10, белый.</t>
  </si>
  <si>
    <t>verify wall rigidity: seller materials vary by offer.</t>
  </si>
  <si>
    <t>UM-SKU-004</t>
  </si>
  <si>
    <t>Queen Fair</t>
  </si>
  <si>
    <t>placeholder_cells_accessory_tray</t>
  </si>
  <si>
    <t>rigid</t>
  </si>
  <si>
    <t>mixed</t>
  </si>
  <si>
    <t>пластик</t>
  </si>
  <si>
    <t>plastic</t>
  </si>
  <si>
    <t>plastic_based</t>
  </si>
  <si>
    <t>UM-SKU-005</t>
  </si>
  <si>
    <t>Органайзер для хранения белья «Зигзаг», 7 ячеек, 32x32x12 см, серый</t>
  </si>
  <si>
    <t>placeholder_slots_grey_narrow</t>
  </si>
  <si>
    <t>slots</t>
  </si>
  <si>
    <t>бюстгальтеры / топы / сложенные квадратиками вещи</t>
  </si>
  <si>
    <t>текстиль</t>
  </si>
  <si>
    <t>textile</t>
  </si>
  <si>
    <t>7 вытянутых секций; высота 12 см.</t>
  </si>
  <si>
    <t>soft slots may deform if underfilled.; slot internals by one-row rule: cell_width=container width, cell_depth=depth/capacity_units.</t>
  </si>
  <si>
    <t>UM-SKU-006</t>
  </si>
  <si>
    <t>Органайзер для хранения белья, 7 отделений, 34x30.5x10 см, серый</t>
  </si>
  <si>
    <t>бюстгальтеры / сложенные топы / ремни</t>
  </si>
  <si>
    <t>текстиль / картон</t>
  </si>
  <si>
    <t>textile_cardboard_composite</t>
  </si>
  <si>
    <t>Сниппет показывает актуальные предложения и цену Яндекс Пэй.</t>
  </si>
  <si>
    <t>verify exact internal slot width for padded bras.; slot internals by one-row rule: cell_width=container width, cell_depth=depth/capacity_units.</t>
  </si>
  <si>
    <t>UM-SKU-007</t>
  </si>
  <si>
    <t>Generic seller</t>
  </si>
  <si>
    <t>Складной органайзер для джинсов из нейлона, 7 секций, 25x36x20 см, серый</t>
  </si>
  <si>
    <t>https://market.yandex.ru/card/skladnoy-organayzer-dlya-dzhinsov-iz-neylona-seryy/103783314206</t>
  </si>
  <si>
    <t>placeholder_slots_clothing_7_grid</t>
  </si>
  <si>
    <t>джинсы / брюки / футболки вертикально сложенные</t>
  </si>
  <si>
    <t>нейлоновая сетка / ткань оксфорд</t>
  </si>
  <si>
    <t>Открытый сетчатый органайзер для одежды; карточка указывает 25x36x20 см и 7 секций.</t>
  </si>
  <si>
    <t>Slots internal size estimated by rule: cell_width=container width, cell_depth=depth/capacity_units. Height 20 cm may be high for shallow drawers.; slot internals by one-row rule: cell_width=container width, cell_depth=depth/capacity_units.</t>
  </si>
  <si>
    <t>UM-SKU-008</t>
  </si>
  <si>
    <t>ORGVSE</t>
  </si>
  <si>
    <t>Органайзер для хранения белья, 6 ячеек</t>
  </si>
  <si>
    <t>https://market.yandex.ru/product--orgvse/1822094980?sku=102421127108&amp;uniqueId=56188805</t>
  </si>
  <si>
    <t>носки / галстуки / ремни / узкие аксессуары</t>
  </si>
  <si>
    <t>estimated_from_dimensions</t>
  </si>
  <si>
    <t>Размер принят как типовой для 6-секционного формата 34x15x10; карточку нужно перепроверить.</t>
  </si>
  <si>
    <t>dimensions not fully visible in snippet; use as provisional SKU.; slot internals by one-row rule: cell_width=container width, cell_depth=depth/capacity_units.</t>
  </si>
  <si>
    <t>low</t>
  </si>
  <si>
    <t>UM-SKU-009</t>
  </si>
  <si>
    <t>Master House</t>
  </si>
  <si>
    <t>Органайзер для белья Master House «Листья», 32x32x10 см, без крышки</t>
  </si>
  <si>
    <t>placeholder_open_grey_tall</t>
  </si>
  <si>
    <t>open</t>
  </si>
  <si>
    <t>маечки / мягкая одежда / колготки / смешанное хранение</t>
  </si>
  <si>
    <t>серый/зеленый рисунок</t>
  </si>
  <si>
    <t>нетканый материал / картон</t>
  </si>
  <si>
    <t>Open SKU для мягкого хранения без внутренних ячеек.</t>
  </si>
  <si>
    <t>pattern/color may not fit neutral visual matching.</t>
  </si>
  <si>
    <t>UM-SKU-010</t>
  </si>
  <si>
    <t>UM-SKU-011</t>
  </si>
  <si>
    <t>https://market.yandex.ru/product--organaizer-dlia-odezhdy-naivno-razmer-32x32x12/100172857?sku=102946780543&amp;uniqueId=112027373</t>
  </si>
  <si>
    <t>футболки / сложенные квадратиками вещи / домашняя одежда</t>
  </si>
  <si>
    <t>Подходит как open контейнер с высотой 12 см.</t>
  </si>
  <si>
    <t>soft construction: don't use as hard geometry anchor.</t>
  </si>
  <si>
    <t>UM-SKU-012</t>
  </si>
  <si>
    <t>UM-SKU-013</t>
  </si>
  <si>
    <t>HOMSU</t>
  </si>
  <si>
    <t>Разделители ящиков «соты», набор 18 ячеек, 35x34x7 см, белый</t>
  </si>
  <si>
    <t>placeholder_dividers_honeycomb_white</t>
  </si>
  <si>
    <t>dividers</t>
  </si>
  <si>
    <t>разделение ящика под носки / белье / мелочи</t>
  </si>
  <si>
    <t>Набор из 8 деталей создает 18 ячеек.</t>
  </si>
  <si>
    <t>honeycomb layout creates virtual cells; no bottom.</t>
  </si>
  <si>
    <t>Разделители для ящиков «соты», набор 8 шт, 36.3x6.7 см, коричневый</t>
  </si>
  <si>
    <t>самостоятельное деление ящика / носки / аксессуары</t>
  </si>
  <si>
    <t>коричневый</t>
  </si>
  <si>
    <t>brown</t>
  </si>
  <si>
    <t>neutral_dark</t>
  </si>
  <si>
    <t>Honeycomb divider format; useful as cuttable fallback.</t>
  </si>
  <si>
    <t>SKU may be out of sale; verify before matching.</t>
  </si>
  <si>
    <t>UM-SKU-015</t>
  </si>
  <si>
    <t>Арникс</t>
  </si>
  <si>
    <t>Разделители ящиков Арникс, набор 6 шт, 32x24x6 см, прозрачный</t>
  </si>
  <si>
    <t>https://market.yandex.ru/product--razdelitel-iashchikov-rks/928251042?sku=101217376005&amp;uniqueId=951940</t>
  </si>
  <si>
    <t>placeholder_dividers_transparent_grid</t>
  </si>
  <si>
    <t>перегородки для белья / носков / мелочей</t>
  </si>
  <si>
    <t>прозрачный</t>
  </si>
  <si>
    <t>transparent</t>
  </si>
  <si>
    <t>Набор разделителей без дна; хорошо для технического matching как divider-kit.</t>
  </si>
  <si>
    <t>cell geometry depends on assembly.</t>
  </si>
  <si>
    <t>UM-SKU-016</t>
  </si>
  <si>
    <t>MICASA</t>
  </si>
  <si>
    <t>Набор кофров MICASA Floral для нижнего белья, 2 шт, 33x33x9 см</t>
  </si>
  <si>
    <t>https://hoff.ru/catalog/tovary_dlya_doma/hoztovary/tovary_dlya_hraneniya/kofry/nabor_kofrov_micasa_floral_id8338391/?articul=80422314</t>
  </si>
  <si>
    <t>placeholder_open_beige_low</t>
  </si>
  <si>
    <t>нижнее белье / мягкое хранение / смешанные вещи</t>
  </si>
  <si>
    <t>розовый, зеленый, желтый</t>
  </si>
  <si>
    <t>pink</t>
  </si>
  <si>
    <t>color</t>
  </si>
  <si>
    <t>нетканое полотно, картон</t>
  </si>
  <si>
    <t>Набор 2 шт; размеры указаны для единицы/типового кофра в карточке.</t>
  </si>
  <si>
    <t>mixed colors; not neutral. Check whether both items same size.</t>
  </si>
  <si>
    <t>UM-SKU-017</t>
  </si>
  <si>
    <t>UM-SKU-018</t>
  </si>
  <si>
    <t>available</t>
  </si>
  <si>
    <t>UM-SKU-019</t>
  </si>
  <si>
    <t>MITTE</t>
  </si>
  <si>
    <t>Кофр MITTE Cube для хранения вещей, 30x30x30 см</t>
  </si>
  <si>
    <t>https://hoff.ru/catalog/tovary_dlya_doma/hoztovary/tovary_dlya_hraneniya/kofry/</t>
  </si>
  <si>
    <t>высокий open-короб / глубокий ящик / шкаф</t>
  </si>
  <si>
    <t>Качественный массовый open SKU, но скорее для глубокого пространства.</t>
  </si>
  <si>
    <t>too tall for many drawer scenarios; use only if drawer height &gt;=31 cm.</t>
  </si>
  <si>
    <t>UM-SKU-020</t>
  </si>
  <si>
    <t>marketplace_affiliate_possible</t>
  </si>
  <si>
    <t>placeholder_open_transparent_rigid</t>
  </si>
  <si>
    <t>polypropylene</t>
  </si>
  <si>
    <t>UM-SKU-021</t>
  </si>
  <si>
    <t>Кофр HOFF Дафл для хранения вещей, 51x20x12 см</t>
  </si>
  <si>
    <t>https://hoff.ru/catalog/tovary_dlya_doma/hoztovary/tovary_dlya_hraneniya/kofry/kofr_dafl_id10943882/?articul=80774326</t>
  </si>
  <si>
    <t>майки / футболки / текстиль в широком ящике</t>
  </si>
  <si>
    <t>полиэстер, полипропилен</t>
  </si>
  <si>
    <t>Узкий длинный формат; может закрывать широкую продольную зону.</t>
  </si>
  <si>
    <t>large width; use only after exact fit-check.</t>
  </si>
  <si>
    <t>UM-SKU-022</t>
  </si>
  <si>
    <t>UM-SKU-023</t>
  </si>
  <si>
    <t>нетканое полотно, картон, полиэстер</t>
  </si>
  <si>
    <t>polyester</t>
  </si>
  <si>
    <t>UM-SKU-024</t>
  </si>
  <si>
    <t>Foundation</t>
  </si>
  <si>
    <t>Органайзер Foundation для галстуков и ремней, 32.3x43.2x5 см, антрацит</t>
  </si>
  <si>
    <t>https://hoff.ru/catalog/tovary_dlya_doma/hoztovary/tovary_dlya_hraneniya/kofry/organayzer_foundation_id10197823/?articul=80630379</t>
  </si>
  <si>
    <t>placeholder_slots_accessory_narrow</t>
  </si>
  <si>
    <t>ремни / галстуки / аксессуары / узкие длинные предметы</t>
  </si>
  <si>
    <t>антрацит</t>
  </si>
  <si>
    <t>other</t>
  </si>
  <si>
    <t>искусственная кожа</t>
  </si>
  <si>
    <t>faux_leather</t>
  </si>
  <si>
    <t>Жесткий премиальный слот-органайзер; 12 ячеек указаны в карточке.</t>
  </si>
  <si>
    <t>very high price; use only as premium reference, not default recommendation.; slot internals by one-row rule: cell_width=container width, cell_depth=depth/capacity_units.</t>
  </si>
  <si>
    <t>UM-SKU-025</t>
  </si>
  <si>
    <t>placeholder_slots_beige_wide</t>
  </si>
  <si>
    <t>UM-SKU-026</t>
  </si>
  <si>
    <t>placeholder_dividers_parallel_beige</t>
  </si>
  <si>
    <t>UM-SKU-027</t>
  </si>
  <si>
    <t>UM-SKU-028</t>
  </si>
  <si>
    <t>Yiwu</t>
  </si>
  <si>
    <t>Органайзер Yiwu 24 ячейки, 1 шт, 32x32x10 см, оксфорд, бежевый</t>
  </si>
  <si>
    <t>https://lemanapro.ru/product/organayzer-dlya-hraneniya-yiwu-24-yacheyki-1-sht-32x10x32-sm-oksford-cvet-bezhevyy-91907286/</t>
  </si>
  <si>
    <t>носки / нижнее белье</t>
  </si>
  <si>
    <t>бежевый</t>
  </si>
  <si>
    <t>beige</t>
  </si>
  <si>
    <t>оксфорд с ПВХ</t>
  </si>
  <si>
    <t>Карточка заявляет Yiwu 24, 1 шт, 32x10x32.</t>
  </si>
  <si>
    <t>title order likely ШхВхГ; normalized to W/D/H.</t>
  </si>
  <si>
    <t>UM-SKU-029</t>
  </si>
  <si>
    <t>Органайзер Yiwu 24 ячейки, 1 шт, 32x32x10 см, оксфорд, серый</t>
  </si>
  <si>
    <t>https://lemanapro.ru/product/organayzer-dlya-hraneniya-yiwu-24-yacheyki-1-sht-32x10x32-sm-oksford-cvet-seryy-91907290/</t>
  </si>
  <si>
    <t>Same Yiwu 24 format in grey.</t>
  </si>
  <si>
    <t>verify availability by region.</t>
  </si>
  <si>
    <t>UM-SKU-030</t>
  </si>
  <si>
    <t>Органайзер Yiwu 24 ячейки, 1 шт, 32x32x10 см, оксфорд, голубой</t>
  </si>
  <si>
    <t>https://lemanapro.ru/product/organayzer-dlya-hraneniya-yiwu-24-yacheyki-1-sht-32x10x32-sm-oksford-cvet-goluboy-91907292/</t>
  </si>
  <si>
    <t>голубой</t>
  </si>
  <si>
    <t>blue</t>
  </si>
  <si>
    <t>Color variant useful for color matching tests.</t>
  </si>
  <si>
    <t>non-neutral color; rank lower for neutral preference.</t>
  </si>
  <si>
    <t>UM-SKU-031</t>
  </si>
  <si>
    <t>UM-SKU-032</t>
  </si>
  <si>
    <t>UM-SKU-033</t>
  </si>
  <si>
    <t>Органайзер Yiwu 16 ячеек, 1 шт, 32x32x10 см, оксфорд, бежевый</t>
  </si>
  <si>
    <t>https://orel.lemanapro.ru/product/organayzer-dlya-hraneniya-yiwu-16-yacheek-1-sht-32x10x32-sm-oksford-cvet-bezhevyy-91907287/</t>
  </si>
  <si>
    <t>placeholder_cells_beige_wide</t>
  </si>
  <si>
    <t>белье / детские вещи / более крупные ячейки</t>
  </si>
  <si>
    <t>16 ячеек на том же outer footprint; bigger cells than 24.</t>
  </si>
  <si>
    <t>good fallback when 24 cells too small.</t>
  </si>
  <si>
    <t>UM-SKU-034</t>
  </si>
  <si>
    <t>placeholder_cells_grey_wide</t>
  </si>
  <si>
    <t>UM-SKU-035</t>
  </si>
  <si>
    <t>Органайзер Yiwu 7 ячеек, 1 шт, 32x32x10 см, оксфорд, серый</t>
  </si>
  <si>
    <t>https://vladivostok.lemanapro.ru/product/organayzer-dlya-hraneniya-yiwu-7-yacheek-1-sht-32x10x32-sm-oksford-cvet-seryy-91907295/</t>
  </si>
  <si>
    <t>бюстгальтеры / топы / сложенные блоки</t>
  </si>
  <si>
    <t>7 секций в Yiwu family; compatible with 32x32 footprint.</t>
  </si>
  <si>
    <t>slot width approx 4.6 cm if full-width slots; verify photo.; slot internals by one-row rule: cell_width=container width, cell_depth=depth/capacity_units.</t>
  </si>
  <si>
    <t>UM-SKU-036</t>
  </si>
  <si>
    <t>UM-SKU-037</t>
  </si>
  <si>
    <t>UM-SKU-038</t>
  </si>
  <si>
    <t>UM-SKU-039</t>
  </si>
  <si>
    <t>abs_plastic</t>
  </si>
  <si>
    <t>UM-SKU-040</t>
  </si>
  <si>
    <t>UM-SKU-041</t>
  </si>
  <si>
    <t>LaDom</t>
  </si>
  <si>
    <t>Органайзер для хранения белья LaDom, 24 ячейки, 32x32x10 см, белый</t>
  </si>
  <si>
    <t>https://www.ozon.ru/product/organayzer-dlya-hraneniya-belya-ladom-24-yacheyki-razmer-32h32h10-sm-metall-pvh-polipropilen-3545246831/</t>
  </si>
  <si>
    <t>металл, ПВХ, полипропилен</t>
  </si>
  <si>
    <t>metal</t>
  </si>
  <si>
    <t>metal_plastic_composite</t>
  </si>
  <si>
    <t>Card states 24 cells, 32x32x10. Marked rigid because materials include metal/PVC/polypropylene.</t>
  </si>
  <si>
    <t>material mix suggests more rigid insert; verify actual construction.</t>
  </si>
  <si>
    <t>UM-SKU-042</t>
  </si>
  <si>
    <t>Органайзер для нижнего белья, 32x32x10 см, 24 отделения</t>
  </si>
  <si>
    <t>https://www.ozon.ru/product/organayzer-dlya-nizhnego-belya-32h32h10sm-24-otdeleniya-1711446297/</t>
  </si>
  <si>
    <t>носки / белье</t>
  </si>
  <si>
    <t>нетканое полотно</t>
  </si>
  <si>
    <t>Сниппет содержит цену, 24 отделения, размеры и большое количество отзывов.</t>
  </si>
  <si>
    <t>seller/brand unclear; treat as marketplace commodity.</t>
  </si>
  <si>
    <t>UM-SKU-043</t>
  </si>
  <si>
    <t>Органайзер для хранения белья Доляна Смарт, 24 ячейки, 32x32x10 см, серый</t>
  </si>
  <si>
    <t>https://www.ozon.ru/product/organayzer-dlya-hraneniya-belya-dolyana-smart-24-yacheyki-32-32-10-sm-seryy-9045671-3524777349/</t>
  </si>
  <si>
    <t>флизелин / картон</t>
  </si>
  <si>
    <t>Ozon listing for known Доляна Смарт SKU.</t>
  </si>
  <si>
    <t>same SKU available on Sima-land; prefer source with stable product card.</t>
  </si>
  <si>
    <t>UM-SKU-044</t>
  </si>
  <si>
    <t>Органайзер для хранения белья Доляна Смарт, 24 ячейки, 32x32x10 см, черный</t>
  </si>
  <si>
    <t>https://www.ozon.ru/product/organayzer-dlya-hraneniya-belya-dolyana-smart-24-yacheyki-32-32-10-sm-chernyy-9045670-3524777412/</t>
  </si>
  <si>
    <t>черный</t>
  </si>
  <si>
    <t>black</t>
  </si>
  <si>
    <t>Black variant; useful for color matching.</t>
  </si>
  <si>
    <t>same commodity SKU may have variable seller fulfillment.</t>
  </si>
  <si>
    <t>UM-SKU-045</t>
  </si>
  <si>
    <t>Zigzag</t>
  </si>
  <si>
    <t>Органайзер для хранения вещей / белья, 12 ячеек, 32x32x12 см</t>
  </si>
  <si>
    <t>https://www.ozon.ru/product/organayzer-dlya-hraneniya-veshchey-kofr-dlya-belya-v-shkaf-zigzag-korob-dlya-odezhdy-yashchik-dlya-496248973/</t>
  </si>
  <si>
    <t>белье / аксессуары / средние ячейки</t>
  </si>
  <si>
    <t>12 секций and 32x32x12 visible in card snippet.</t>
  </si>
  <si>
    <t>height 12 cm; verify useful drawer height.</t>
  </si>
  <si>
    <t>UM-SKU-046</t>
  </si>
  <si>
    <t>UM-SKU-047</t>
  </si>
  <si>
    <t>UM-SKU-048</t>
  </si>
  <si>
    <t>https://www.ozon.ru/product/organayzer-dlya-hraneniya-veshchey-belya-4-sht-v-nabore-bezhevyy-1454018205/</t>
  </si>
  <si>
    <t>placeholder_slots_beige_5</t>
  </si>
  <si>
    <t>UM-SKU-049</t>
  </si>
  <si>
    <t>UM-SKU-050</t>
  </si>
  <si>
    <t>UM-SKU-051</t>
  </si>
  <si>
    <t>UM-SKU-052</t>
  </si>
  <si>
    <t>UM-SKU-053</t>
  </si>
  <si>
    <t>UM-SKU-054</t>
  </si>
  <si>
    <t>UM-SKU-055</t>
  </si>
  <si>
    <t>UM-SKU-056</t>
  </si>
  <si>
    <t>UM-SKU-057</t>
  </si>
  <si>
    <t>oxford</t>
  </si>
  <si>
    <t>UM-SKU-058</t>
  </si>
  <si>
    <t>UM-SKU-059</t>
  </si>
  <si>
    <t>UM-SKU-060</t>
  </si>
  <si>
    <t>UM-SKU-061</t>
  </si>
  <si>
    <t>UM-SKU-062</t>
  </si>
  <si>
    <t>оксфорд</t>
  </si>
  <si>
    <t>UM-SKU-063</t>
  </si>
  <si>
    <t>UM-SKU-064</t>
  </si>
  <si>
    <t>UM-SKU-065</t>
  </si>
  <si>
    <t>UM-SKU-066</t>
  </si>
  <si>
    <t>seller_offer_possible</t>
  </si>
  <si>
    <t>UM-SKU-067</t>
  </si>
  <si>
    <t>UM-SKU-068</t>
  </si>
  <si>
    <t>UM-SKU-069</t>
  </si>
  <si>
    <t>UM-SKU-070</t>
  </si>
  <si>
    <t>UM-SKU-071</t>
  </si>
  <si>
    <t>UM-SKU-072</t>
  </si>
  <si>
    <t>UM-SKU-073</t>
  </si>
  <si>
    <t>UM-SKU-074</t>
  </si>
  <si>
    <t>UM-SKU-075</t>
  </si>
  <si>
    <t>UM-SKU-076</t>
  </si>
  <si>
    <t>UM-SKU-077</t>
  </si>
  <si>
    <t>UM-SKU-078</t>
  </si>
  <si>
    <t>текстиль / каркас</t>
  </si>
  <si>
    <t>UM-SKU-079</t>
  </si>
  <si>
    <t>https://www.vseinstrumenti.ru/tag-page/organajzery-dlya-melochej-1461431/</t>
  </si>
  <si>
    <t>UM-SKU-080</t>
  </si>
  <si>
    <t>UM-SKU-081</t>
  </si>
  <si>
    <t>UM-SKU-082</t>
  </si>
  <si>
    <t>UM-SKU-083</t>
  </si>
  <si>
    <t>РутаУпак</t>
  </si>
  <si>
    <t>Органайзер для хранения нижнего белья, носков, трусов "Бежевый"</t>
  </si>
  <si>
    <t>counted_from_photo</t>
  </si>
  <si>
    <t>картон, нетканое полотно</t>
  </si>
  <si>
    <t>UM-SKU-084</t>
  </si>
  <si>
    <t>UM-SKU-085</t>
  </si>
  <si>
    <t>IvkoLab</t>
  </si>
  <si>
    <t>Органайзер ivkolab, дерево, 12 секций, прямоугольный</t>
  </si>
  <si>
    <t>https://market.yandex.ru/card/organayzer-dlya-khraneniya-s-sektsiyami-v/102611680222?do-waremd5=2CxwjRYmc_FakcuOXN_VCQ&amp;sponsored=1&amp;cpc=1BJXB_lDdba2jjP8wR-47z_lIXvC4f1-ANX9d-TS9fe8FfGNGzSVnoNFkz4MurFQV_Mo1-H8po06mmeNE4mSKu15GI-u9yrfr9dZCvYpWYtcp5BXrQ9ClXk3graxLg30EPO1mgDLaqWjOgJjPqFP8Hz-qj7ChjROhAYuH-6A1WvTGMWfCfQqaA1S5nXFHKCy7TDyqHM_UL5JmIz59lnlxQgHhFDM09cdOpOlz5s5pctnXxhyyW3bfhP5Tu01JGQAHlq-Rh1_sMGtA6g4pcq5MaXIxU90xeZK9iHv1vT8-dlHh24O3YX9vh-eGAeD3XVw83Aabkd12wbf41Q9IgKX3Y0AvLdVdPLFaejwMmluN-vYyZaAtc07DHYHJdwobSRYGCu9XlHSYdUfDwMZjBpIpGk_xovwAlbqNT-MPnDeF3SvHGx3QRtzRl0eqETxGsZfymAJOTBG9BDfUi_9pAM29pThqTnYXvnS4VhD0Irkx8lE3lpYeDwQewmZ6o_WyEGp_Iqt_1TwRx7kUojLJDT95w%2C%2C&amp;nid=61054166&amp;ogV=-12</t>
  </si>
  <si>
    <t>placeholder_cells_brown_wood_deep</t>
  </si>
  <si>
    <t>галстуки / ремни / аксессуары</t>
  </si>
  <si>
    <t>дерево</t>
  </si>
  <si>
    <t>wood</t>
  </si>
  <si>
    <t>wood_based</t>
  </si>
  <si>
    <t>Деревянный жесткий низкий органайзер с 12 секциями; подходит как accessory/jewelry SKU.</t>
  </si>
  <si>
    <t>UM-SKU-086</t>
  </si>
  <si>
    <t>placeholder_slots_clothing_bulky_wide</t>
  </si>
  <si>
    <t>rejection_reason</t>
  </si>
  <si>
    <t>Набор органайзеров для ящика 4 шт Basic S6S7S8S24 32x10x32 см</t>
  </si>
  <si>
    <t>https://belgorod.lemanapro.ru/product/nabor-organayzerov-dlya-yashchika-4-sht-basic-s6s7s8s24-32x10x32-sm-cvet-temno-seryy-91401426/</t>
  </si>
  <si>
    <t>no_individual_sizes_in_set</t>
  </si>
  <si>
    <t>Mixed division types in one product; use only after splitting components with exact dimensions.</t>
  </si>
  <si>
    <t>Набор органайзеров для ящика 4 шт Basic S6S7S8S24 32x10x32 см, бежевый</t>
  </si>
  <si>
    <t>https://voronezh.lemanapro.ru/product/nabor-organayzerov-dlya-yashchika-4-sht-basic-s6s7s8s24-32x10x32-sm-cvet-bezhevyy-91401424/</t>
  </si>
  <si>
    <t>The title gives total set size but not reliable per-component dimensions in visible data.</t>
  </si>
  <si>
    <t>Органайзер для хранения Tescoma 899500.00 3.8 л</t>
  </si>
  <si>
    <t>https://lemanapro.ru/product/organayzer-dlya-hraneniya-tescoma-89950000-38-l-100-plastik-cvet-bescvetnyy-prozrachnyy-91852450/</t>
  </si>
  <si>
    <t>no_dimensions</t>
  </si>
  <si>
    <t>Volume is shown, but W/D/H were not clearly captured in visible snippet.</t>
  </si>
  <si>
    <t>Кофр с крышкой MITTE Basic для хранения вещей 70x22x55 см</t>
  </si>
  <si>
    <t>https://hoff.ru/catalog/tovary_dlya_doma/hoztovary/tovary_dlya_hraneniya/kofry/?naznachenie=dlya_odezhdy</t>
  </si>
  <si>
    <t>too_large</t>
  </si>
  <si>
    <t>Included only as large-edge reference in Hoff source; not suitable for core drawer MVP.</t>
  </si>
  <si>
    <t>Органайзер для хранения Funny корзинка котик 30x48x30 см</t>
  </si>
  <si>
    <t>https://hoff.ru/catalog/tovary_dlya_doma/hoztovary/tovary_dlya_hraneniya/kofry/organayzer_dlya_khraneniya_funny_id9703703/?articul=80602281</t>
  </si>
  <si>
    <t>Decorative/children basket; high, not drawer-first.</t>
  </si>
  <si>
    <t>Кофр с крышкой Дафл для хранения вещей 69x19x55 см</t>
  </si>
  <si>
    <t>https://hoff.ru/catalog/tovary_dlya_doma/hoztovary/tovary_dlya_hraneniya/kofry/?s_kryshkoy=da</t>
  </si>
  <si>
    <t>Too long/deep for typical drawer scenarios.</t>
  </si>
  <si>
    <t>Органайзер для пакетов на дверцу шкафа</t>
  </si>
  <si>
    <t>https://www.ozon.ru/category/organayzery-14765/</t>
  </si>
  <si>
    <t>not_for_drawer</t>
  </si>
  <si>
    <t>Door-mounted / hanging product; excluded by scope.</t>
  </si>
  <si>
    <t>Органайзер для хранения вещей, белья, 4 шт. в наборе</t>
  </si>
  <si>
    <t>Some components described, but full per-unit dimensions not reliably captured.</t>
  </si>
  <si>
    <t>Органайзер для хранения вещей, складной набор 4 шт</t>
  </si>
  <si>
    <t>https://www.ozon.ru/product/organayzer-dlya-hraneniya-veshchey-nizhnego-belya-noskov-i-odezhdy-v-shkafu-skladnoy-nabor-4-sht-488651038/</t>
  </si>
  <si>
    <t>Mixed cells/slots/open components; split only after manual card verification.</t>
  </si>
  <si>
    <t>Органайзер для хранения нижнего белья (16 ячеек) COFRET</t>
  </si>
  <si>
    <t>https://www.wildberries.ru/catalog/dom/spalnya/hranenie-veshchey/tags/yacheiki-dlya-belya</t>
  </si>
  <si>
    <t>Visible tag page did not expose W/D/H for this item.</t>
  </si>
  <si>
    <t>Пластиковый контейнер для хранения 20x30x10 см</t>
  </si>
  <si>
    <t>https://global.wildberries.ru/catalog/tags/konteiner-30h20h10</t>
  </si>
  <si>
    <t>Mostly refrigerator/kitchen context; outside first-wave scope.</t>
  </si>
  <si>
    <t>Органайзер для холодильника, 30x20x10 см пластик прозрачный</t>
  </si>
  <si>
    <t>https://www.ozon.ru/product/organayzer-dlya-holodilnika-30h20h10-sm-plastik-prozrachnyy-1674826951/</t>
  </si>
  <si>
    <t>Kitchen/fridge product, excluded from current product scope.</t>
  </si>
  <si>
    <t>Органайзер для белья и мелочей Paxwell Ордер Про 3430 серый, 10 шт в упаковке</t>
  </si>
  <si>
    <t>unclear_real_size</t>
  </si>
  <si>
    <t>Pack-level offer; not enough reliable per-SKU data in visible snippet.</t>
  </si>
  <si>
    <t>Кофр АртСтефа, 24 ячейки, 34x30x10 см</t>
  </si>
  <si>
    <t>https://www.vseinstrumenti.ru/product/kofr-artstefa-862-144-24-yachejki-34h30h10-sm-ut-00112406-1552528/</t>
  </si>
  <si>
    <t>unstable_product_card</t>
  </si>
  <si>
    <t>Moved out of catalog because page showed no stock; keep as reference only.</t>
  </si>
  <si>
    <t>Корзина IDEA 350x250x120 мм М 2343</t>
  </si>
  <si>
    <t>https://www.vseinstrumenti.ru/product/korzina-idea-350h250h120-mm-m-2343-1872201/</t>
  </si>
  <si>
    <t>Moved out of catalog because page showed no stock.</t>
  </si>
  <si>
    <t>Органайзер для хранения белья / бюстгальтеров с крышкой, 5 секций, 32x32x12 см</t>
  </si>
  <si>
    <t>https://market.yandex.ru/product--organaizer-dlia-khraneniia-belia-biustgalterov-s-kryshkoi-5-sektsii-32-32-12-sm-expedition/405827220?sku=100985015397&amp;uniqueId=772018</t>
  </si>
  <si>
    <t>closed_container_not_for_drawer_open_storage</t>
  </si>
  <si>
    <t>Removed from sku_catalog cleanup: has_lid=yes. For MVP drawer scenario use only open-top storage.</t>
  </si>
  <si>
    <t>Короб с откидной крышкой MASTER HOUSE Брауни, 30x30x16 см</t>
  </si>
  <si>
    <t>https://hoff.ru/catalog/tovary_dlya_doma/hoztovary/tovary_dlya_hraneniya/kofry/korob_s_otkidnoy_kryshkoy_dlya_khraneniya_veshchey_brauni_id8938123/?articul=80539111</t>
  </si>
  <si>
    <t>Кофр с крышкой MITTE Basic для хранения вещей, 70x55x22 см</t>
  </si>
  <si>
    <t>Кофр-органайзер с прозрачной крышкой Селфи, 24 отделения, 32x24x12 см, черный</t>
  </si>
  <si>
    <t>https://www.vseinstrumenti.ru/product/kofr-organajzer-dlya-hraneniya-veschej-s-prozrachnoj-kryshkoj-selfi-uyutdoma-tsvet-chernyj-24-otdeleniya-32-24-12sm-834-340-22504941/</t>
  </si>
  <si>
    <t>field</t>
  </si>
  <si>
    <t>allowed_value</t>
  </si>
  <si>
    <t>count_in_sku_catalog</t>
  </si>
  <si>
    <t>invalid_count_for_field</t>
  </si>
  <si>
    <t>catalog_summary</t>
  </si>
  <si>
    <t>value</t>
  </si>
  <si>
    <t>Allowed vocabulary</t>
  </si>
  <si>
    <t>total_sku</t>
  </si>
  <si>
    <t>division_type_cells</t>
  </si>
  <si>
    <t>division_type_slots</t>
  </si>
  <si>
    <t>division_type_open</t>
  </si>
  <si>
    <t>division_type_dividers</t>
  </si>
  <si>
    <t>slots_missing_cell_width</t>
  </si>
  <si>
    <t>slots_missing_cell_depth</t>
  </si>
  <si>
    <t>has_lid_yes</t>
  </si>
  <si>
    <t>new_or_replaced_sku_count</t>
  </si>
  <si>
    <t>out_of_stock</t>
  </si>
  <si>
    <t>green</t>
  </si>
  <si>
    <t>yellow</t>
  </si>
  <si>
    <t>red</t>
  </si>
  <si>
    <t>purple</t>
  </si>
  <si>
    <t>cardboard</t>
  </si>
  <si>
    <t>cardboard_based</t>
  </si>
  <si>
    <t>metal_based</t>
  </si>
  <si>
    <t>manual_link_only</t>
  </si>
  <si>
    <t>10_cells_semi-rigit_ grey_high_4on6</t>
  </si>
  <si>
    <t>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</t>
  </si>
  <si>
    <t>12_cells_semi_rigit_ white_high_4on6</t>
  </si>
  <si>
    <t>My_Beloved_Home</t>
  </si>
  <si>
    <t>Органайзер для хранения вещей и белья, кофр для хранения универсальный складной в шкаф</t>
  </si>
  <si>
    <t>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</t>
  </si>
  <si>
    <t>13_cells_semi_rigit_ grey_high_2on8</t>
  </si>
  <si>
    <t>СимаЛенд</t>
  </si>
  <si>
    <t>14_slots_semi_rigit_ grey_meditm_7cols</t>
  </si>
  <si>
    <t>15_slots_soft_ grey_high_7cols</t>
  </si>
  <si>
    <t>2_cells_semi_rigid_ grey_high_4on3</t>
  </si>
  <si>
    <t>Органайзер для хранения белья "Пыльца", 7 ячеек, 32x12x12 см</t>
  </si>
  <si>
    <t>https://market.yandex.ru/card/organayzer-dlya-khraneniya-belya-dolyana-fora-7-yacheyek-3430510-sm-seryy/5475029280?do-waremd5=9oJLF3wp2WHGbFnHJgPe5g&amp;cpc=4B10dJ3EVxN7mwwsFaMtSRAzjQIuTK1W1-OGxQ3zGpmjCZkZb-4l3x-xCLvJvXeMwJsthLRja5t0m02jGUpGCC_C4tk3Sms0kD5xG4hz_hWaF3frxauFIjjE8V60-wQpVaSZ1J4gEep4SE2Nccx5RSOwsVVDnP_cRkEfmLcFGhKU24QBt6Z1dlWyrsvpDSFTIiwgzsPpn_PNHdoJuI46eDqf3cvFiuR_wV3NAN4DdLnm4Wku2bB7j7PVrcJW7FttWadB41hqGx7psjHbXioSz6NytjwVc6gqLBnZervU6GCGB7Mdoed60XnbWX2j5Atcr1Q1j2ZtTRwZnlJTXFueCvWz6I4AGHtzduFR3hy4xBS-N9BhnqJEoUv5NNbln1JGinIQHWonM_LzVP4LRudRpxGOMSr0CvK6zzM3LyyfXSSrDzTOZnRPR5wFzJ5nxDTl7BHdlWA2xPcQs9JkVkbHolHtDXvpQqa2CNyHDdadXC6d-a8l9ekVcsnPQ83B7KBtaP7qOXE6nK4%2C&amp;cc=CgAQrgmAfebtBg%2C%2C&amp;resale_goods=resale_new&amp;hid=61047165&amp;nid=61054166&amp;show-uid=17787699097816299424706001&amp;showUid=17787699097816299424706001&amp;from-show-uid=17787699097816299424706001&amp;cpa=1&amp;from=search</t>
  </si>
  <si>
    <t>https://market.yandex.ru/product--razdeliteli-iashchikov-soty/1406030045?sku=101103357063&amp;uniqueId=951940&amp;do-waremd5=SLv0wtfoTN2iKog10Rk0Og&amp;ogV=-12</t>
  </si>
  <si>
    <t>16_cells_rigit_ white_low</t>
  </si>
  <si>
    <t>Valiant</t>
  </si>
  <si>
    <t>https://www.ozon.ru/product/razdeliteli-dlya-yashchikov-soty-organayzer-dlya-hraneniya-veshchey-nabor-8-sht-179608270/?at=36tWPDOD7urzxYLRIKPl3wyiylB6MRcz0yAz9igwwvg0</t>
  </si>
  <si>
    <t>17_cells_rigit_ brown_low</t>
  </si>
  <si>
    <t>Настольный органайзер IVkolab, дерево, 6 секций, коричневый, 28x16x6.5см</t>
  </si>
  <si>
    <t>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</t>
  </si>
  <si>
    <t>18_cells_rigid_wood_low_3on4</t>
  </si>
  <si>
    <t>19_cells_rigid_wood_low_2on4</t>
  </si>
  <si>
    <t>Кофр HOFF Bamboo для нижнего белья 28x11.6x28 см</t>
  </si>
  <si>
    <t>https://hoff.ru/catalog/tovary_dlya_doma/hoztovary/tovary_dlya_hraneniya/kofry/kofr_bamboo_id10582335/?articul=80635175</t>
  </si>
  <si>
    <t>20_open_semi_rigid_veryhigh</t>
  </si>
  <si>
    <t>21_cells_semi_rigid_beige_medium_3on2</t>
  </si>
  <si>
    <t>22_slots_semi_rigid_grey_medium_2cols</t>
  </si>
  <si>
    <t>23_cells_rigid_grey_low_4on3</t>
  </si>
  <si>
    <t>Органайзер для хранения косметики, канцелярии, аксессуаров и мелочей</t>
  </si>
  <si>
    <t>https://www.ozon.ru/product/organayzer-dlya-hraneniya-kosmetiki-kantselyarii-aksessuarov-i-melochey-universalnyy-v-dom-1406512269/?at=Rltyp4x4nFMrk1pXtrooxVZT2YPOBPUOn4GjYCnGA66q</t>
  </si>
  <si>
    <t>ABS пластик, Дерево</t>
  </si>
  <si>
    <t>24_cells_soft_grey_medium_6on4</t>
  </si>
  <si>
    <t>25_slots_rigid_white_medium_4cols</t>
  </si>
  <si>
    <t xml:space="preserve">1_Cells_semi_rigid_beige_fabric_4on4 </t>
  </si>
  <si>
    <t>25_cells_semi_rigid_black_medium_6on4</t>
  </si>
  <si>
    <t>set_quantity</t>
  </si>
  <si>
    <t>Кофр для хранения вещей х 32 см х 11 см , 1 шт</t>
  </si>
  <si>
    <t>https://www.ozon.ru/product/kofr-dlya-hraneniya-veshchey-h-32-sm-h-11-sm-1-sht-2242319514/?at=NOtwQkplKc3QPZKZfMEBZMMig60qDLSkZ27ErIZwQ1oE</t>
  </si>
  <si>
    <t>полотно</t>
  </si>
  <si>
    <t>Домико</t>
  </si>
  <si>
    <t>Кофр для хранения вещей х 32 см х 11 см</t>
  </si>
  <si>
    <t>26_slots_semi_rigid_grey_medium_6cols</t>
  </si>
  <si>
    <t>Yandex Market</t>
  </si>
  <si>
    <t>Ridberg</t>
  </si>
  <si>
    <t>Органайзер для хранения вещей /для нижнего белья и носков Ridberg серый 2 шт</t>
  </si>
  <si>
    <t>27_slots_soft_greytransparent_medium_7cols</t>
  </si>
  <si>
    <t>https://www.ozon.ru/product/kofr-dlya-hraneniya-veshchey-32-sm-h-32-sm-h-11-sm-1-sht-1307012295/?at=28t045QlqsL6j4xQs2LgW3oUBrrKmAc6R4NvmiPlOOgK</t>
  </si>
  <si>
    <t>https://www.ozon.ru/product/kofr-dlya-hraneniya-veshchey-32-sm-h-16-sm-h-11-sm-1-sht-1302000829/?at=WPtNQr897H8X7GphkxDEXgFopRgzpHLYvkK3SoP2MxL</t>
  </si>
  <si>
    <t>Кофр для хранения вещей, 32 см х 16 см х 11 см</t>
  </si>
  <si>
    <t>8_slots_grey_semirigid_medium_7cols</t>
  </si>
  <si>
    <t>Полиэстер с ПВХ покрытием</t>
  </si>
  <si>
    <t>Lotos</t>
  </si>
  <si>
    <t>https://www.ozon.ru/product/organayzer-dlya-hraneniya-25h45h18sm-2-shtuki-9-otdeleniy-1419215690/?at=08tY9NXjBc3loOMQf73pylNtApG4YwuV2x1DGfBXXpYw</t>
  </si>
  <si>
    <t>Органайзер для хранения, 2 штуки</t>
  </si>
  <si>
    <t xml:space="preserve">
Оксфорд, Полипропилен</t>
  </si>
  <si>
    <t>28_slots_grey_rigid_high_9cols</t>
  </si>
  <si>
    <t>Lemana PRO</t>
  </si>
  <si>
    <t>Blue Kaktus</t>
  </si>
  <si>
    <t>https://www.wildberries.ru/catalog/237483312/detail.aspx?targetUrl=MI</t>
  </si>
  <si>
    <t>молочный</t>
  </si>
  <si>
    <t>Огранайзеры в шкаф L, 2 шт., коллекция "Лен"</t>
  </si>
  <si>
    <t>Органайзеры для хранения вещей M, 2 шт., коллекция "Лен"</t>
  </si>
  <si>
    <t>https://www.wildberries.ru/catalog/237022995/detail.aspx?targetUrl=MI</t>
  </si>
  <si>
    <t>Органайзеры для хранения вещей S, 2 шт., коллекция "Лен"</t>
  </si>
  <si>
    <t>https://www.wildberries.ru/catalog/237021437/detail.aspx?targetUrl=MI</t>
  </si>
  <si>
    <t>30_slots_white_semirigid_medium_9cols</t>
  </si>
  <si>
    <t>29_slots_white_semirigid_medium_5cols</t>
  </si>
  <si>
    <t>31_slots_white_semirigid_medium_11cols</t>
  </si>
  <si>
    <t>32_cells_beige_semiridig_medium_3on5</t>
  </si>
  <si>
    <t>Органайзер для хранения вещей, "Графит"</t>
  </si>
  <si>
    <t>33_cells_grey_semiridig_medium_3on5</t>
  </si>
  <si>
    <t>Органайзер для украшений Queen Fair</t>
  </si>
  <si>
    <t>https://market.yandex.ru/card/podstavka-dlya-ukrasheniya-18-yacheyek-flok-2112325-sm-tsvet-seryy-9285210/103806303993?do-waremd5=XepDn6FP4rXKuYn0GWYx3g&amp;sponsored=1&amp;cpc=p6lVFKQa8U53RoDzC12rJDttEcaElnCtJk2KMfVd8UtxrFibzahUlyysGo62kyEW-30BmA4lWKF5OQYTtn5RdI9MM0K9aVXzppg6jnvYR_22w_ybkQ8-iJ1Jm_McE9pgktLJgJBqcuT7wlxbjwvGmtQiOaFACqb9jSZYyUZhx57yvZ_FAmjdaSfCzmlCZYWWO0Q_dx-i1H-ZISkrES-D73-uHewnzJUQ5qS6wYJEHe7QZk6B2MjGfjzrE_0fsbplkSRZ1jIAOags5eAXNH2WiJ84aBBCjdI9RsquObLnnkTUB2aLbhD0Kd-f_sTEJ5h2CzFcgu_eqPFoIHb1QCc4naDuEfJZAoWXbFvcEAY-AZi0gDyY9Rqd_-XdtYG4k1S4_2cROzVuSFz9m-NykLRGQHxBRfqzoGZx6x4gzIvlh8e0HtXfx5kswx3qz_mM87FxZ5tIFrGFmnHBVbRR-4VPy87bd-7KdFfdL3N1frE7Dybp2Eje6KetZLFsdKDYORypDK9wAvX-YGJRAy1i4uWART4ILRngeeWBaMadPn7ivRk%2C&amp;nid=65552376&amp;ogV=-12</t>
  </si>
  <si>
    <t>дерево, картон, текстиль</t>
  </si>
  <si>
    <t>34_cells_grey_rigid_velvet_low_3on5</t>
  </si>
  <si>
    <t>CloxBox</t>
  </si>
  <si>
    <t>Шкатулка органайзер для украшений</t>
  </si>
  <si>
    <t>35_cells_beige_rigid_velvet_low_3on4</t>
  </si>
  <si>
    <t>ДСП, велюр</t>
  </si>
  <si>
    <t>Органайзеры для вещей</t>
  </si>
  <si>
    <t>https://www.wildberries.ru/catalog/138138391/detail.aspx?targetUrl=MI</t>
  </si>
  <si>
    <t>36_cells_beige_rigid_velvet_low_3on4</t>
  </si>
  <si>
    <t>полиэстер; лен; хлопок</t>
  </si>
  <si>
    <t>Keep House</t>
  </si>
  <si>
    <t>Органайзер для белья</t>
  </si>
  <si>
    <t>https://www.ozon.ru/product/keep-house-organayzer-dlya-belya-odezhdy35h24h17-sm-3029823395/?at=OgtEgLzg0c9Kl4JEImk79EMcv6vyLmcpxyMwqH2PkwgQ</t>
  </si>
  <si>
    <t>Оксфорд, Полипропилен, Нетканое волокно</t>
  </si>
  <si>
    <t>https://www.ozon.ru/product/keep-house-organayzer-dlya-belya-odezhdy44h25h22-sm-3084755698/?at=16tL0A20kCm63vKVI78PJXJU2MwJN3TQR8gGls0jMMEo</t>
  </si>
  <si>
    <t>https://market.yandex.ru/cc/9XTiVr</t>
  </si>
  <si>
    <t>Органайзер для нижнего белья и маек</t>
  </si>
  <si>
    <t>CosyHome</t>
  </si>
  <si>
    <t>олипропилен, текстиль, Спанбонд</t>
  </si>
  <si>
    <t>Органайзер Casy Home для бюстгалтеров</t>
  </si>
  <si>
    <t>https://market.yandex.ru/cc/9XTkug</t>
  </si>
  <si>
    <t>Органайзер для хранения носков, нижнего белья</t>
  </si>
  <si>
    <t>https://market.yandex.ru/cc/9XTnxq</t>
  </si>
  <si>
    <t>тканевый</t>
  </si>
  <si>
    <t>expected_affiliate_cpa</t>
  </si>
  <si>
    <t>36_slots_beige_semirigid_textile_low_6cols</t>
  </si>
  <si>
    <t xml:space="preserve">
ПВХ</t>
  </si>
  <si>
    <t>https://market.yandex.ru/cc/9XTs5i</t>
  </si>
  <si>
    <t>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</t>
  </si>
  <si>
    <t>https://market.yandex.ru/cc/9XTu6R</t>
  </si>
  <si>
    <t>https://market.yandex.ru/cc/9XTuDf</t>
  </si>
  <si>
    <t>https://market.yandex.ru/cc/9XTuRz</t>
  </si>
  <si>
    <t>https://market.yandex.ru/cc/9XTuXT</t>
  </si>
  <si>
    <t>https://market.yandex.ru/cc/9XTuj5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</si>
</sst>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6F5F4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0" fontId="3" fillId="0" borderId="0" xfId="2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2">
    <dxf>
      <alignment horizontal="general" vertical="top" textRotation="0" wrapText="1" indent="0" justifyLastLine="0" shrinkToFit="0" readingOrder="0"/>
    </dxf>
    <dxf>
      <font>
        <color rgb="FF991B1B"/>
      </font>
      <fill>
        <patternFill>
          <bgColor rgb="FFFEE2E2"/>
        </patternFill>
      </fill>
    </dxf>
    <dxf>
      <fill>
        <patternFill patternType="solid"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atalogTable" displayName="SkuCatalogTable" ref="A1:AP92">
  <autoFilter ref="A1:AP92" xr:uid="{00000000-0009-0000-0100-000001000000}">
    <filterColumn colId="1">
      <filters>
        <filter val="Yandex Market"/>
      </filters>
    </filterColumn>
    <filterColumn colId="37">
      <filters blank="1">
        <filter val="available"/>
        <filter val="unknown"/>
      </filters>
    </filterColumn>
  </autoFilter>
  <sortState xmlns:xlrd2="http://schemas.microsoft.com/office/spreadsheetml/2017/richdata2" ref="A2:AP92">
    <sortCondition ref="S1:S92"/>
  </sortState>
  <tableColumns count="42">
    <tableColumn id="1" xr3:uid="{00000000-0010-0000-0000-000001000000}" name="sku_id"/>
    <tableColumn id="2" xr3:uid="{00000000-0010-0000-0000-000002000000}" name="source_platform"/>
    <tableColumn id="3" xr3:uid="{00000000-0010-0000-0000-000003000000}" name="seller_or_brand"/>
    <tableColumn id="4" xr3:uid="{00000000-0010-0000-0000-000004000000}" name="product_title"/>
    <tableColumn id="5" xr3:uid="{00000000-0010-0000-0000-000005000000}" name="product_url"/>
    <tableColumn id="10" xr3:uid="{00000000-0010-0000-0000-00000A000000}" name="picture_matching"/>
    <tableColumn id="11" xr3:uid="{00000000-0010-0000-0000-00000B000000}" name="division_type"/>
    <tableColumn id="12" xr3:uid="{00000000-0010-0000-0000-00000C000000}" name="rigidity"/>
    <tableColumn id="13" xr3:uid="{00000000-0010-0000-0000-00000D000000}" name="storage_use_case"/>
    <tableColumn id="45" xr3:uid="{E7C90943-DD0D-424E-B9DA-0FBB029E6990}" name="set_quantity" dataDxfId="11"/>
    <tableColumn id="14" xr3:uid="{00000000-0010-0000-0000-00000E000000}" name="width_cm"/>
    <tableColumn id="15" xr3:uid="{00000000-0010-0000-0000-00000F000000}" name="depth_cm"/>
    <tableColumn id="16" xr3:uid="{00000000-0010-0000-0000-000010000000}" name="height_cm"/>
    <tableColumn id="17" xr3:uid="{00000000-0010-0000-0000-000011000000}" name="can_rotate"/>
    <tableColumn id="18" xr3:uid="{00000000-0010-0000-0000-000012000000}" name="cols"/>
    <tableColumn id="19" xr3:uid="{00000000-0010-0000-0000-000013000000}" name="rows"/>
    <tableColumn id="20" xr3:uid="{00000000-0010-0000-0000-000014000000}" name="capacity_units"/>
    <tableColumn id="21" xr3:uid="{00000000-0010-0000-0000-000015000000}" name="capacity_basis"/>
    <tableColumn id="22" xr3:uid="{00000000-0010-0000-0000-000016000000}" name="cell_width_cm"/>
    <tableColumn id="23" xr3:uid="{00000000-0010-0000-0000-000017000000}" name="cell_depth_cm"/>
    <tableColumn id="24" xr3:uid="{00000000-0010-0000-0000-000018000000}" name="color_raw"/>
    <tableColumn id="25" xr3:uid="{00000000-0010-0000-0000-000019000000}" name="color_normalized"/>
    <tableColumn id="26" xr3:uid="{00000000-0010-0000-0000-00001A000000}" name="color_group"/>
    <tableColumn id="27" xr3:uid="{00000000-0010-0000-0000-00001B000000}" name="color_confidence"/>
    <tableColumn id="28" xr3:uid="{00000000-0010-0000-0000-00001C000000}" name="material_raw"/>
    <tableColumn id="29" xr3:uid="{00000000-0010-0000-0000-00001D000000}" name="material_normalized"/>
    <tableColumn id="30" xr3:uid="{00000000-0010-0000-0000-00001E000000}" name="material_group"/>
    <tableColumn id="31" xr3:uid="{00000000-0010-0000-0000-00001F000000}" name="material_confidence"/>
    <tableColumn id="32" xr3:uid="{00000000-0010-0000-0000-000020000000}" name="has_lid"/>
    <tableColumn id="33" xr3:uid="{00000000-0010-0000-0000-000021000000}" name="has_bottom"/>
    <tableColumn id="34" xr3:uid="{00000000-0010-0000-0000-000022000000}" name="foldable"/>
    <tableColumn id="35" xr3:uid="{00000000-0010-0000-0000-000023000000}" name="adjustable"/>
    <tableColumn id="36" xr3:uid="{00000000-0010-0000-0000-000024000000}" name="modular"/>
    <tableColumn id="37" xr3:uid="{00000000-0010-0000-0000-000025000000}" name="cuttable"/>
    <tableColumn id="38" xr3:uid="{00000000-0010-0000-0000-000026000000}" name="price"/>
    <tableColumn id="39" xr3:uid="{00000000-0010-0000-0000-000027000000}" name="currency"/>
    <tableColumn id="6" xr3:uid="{C1874395-41DD-4B68-89CE-C04B423A9822}" name="expected_affiliate_cpa" dataDxfId="0"/>
    <tableColumn id="40" xr3:uid="{00000000-0010-0000-0000-000028000000}" name="availability_status"/>
    <tableColumn id="41" xr3:uid="{79574268-7051-4A5C-999C-26DCC4CEFFFB}" name="last_checked_date" dataDxfId="10"/>
    <tableColumn id="42" xr3:uid="{BB454F2D-7B91-4282-A863-B5A6BA5E6EF2}" name="quality_notes" dataDxfId="9"/>
    <tableColumn id="43" xr3:uid="{84A32F4D-D084-4943-90C6-5BD851186FA1}" name="fit_risk_notes" dataDxfId="8"/>
    <tableColumn id="44" xr3:uid="{08A0008B-0CC9-4900-8D4A-6CE41777576A}" name="source_confiden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SkuTable" displayName="RejectedSkuTable" ref="A1:E16">
  <tableColumns count="5">
    <tableColumn id="1" xr3:uid="{00000000-0010-0000-0100-000001000000}" name="product_title"/>
    <tableColumn id="2" xr3:uid="{00000000-0010-0000-0100-000002000000}" name="source_platform"/>
    <tableColumn id="3" xr3:uid="{00000000-0010-0000-0100-000003000000}" name="product_url"/>
    <tableColumn id="4" xr3:uid="{00000000-0010-0000-0100-000004000000}" name="rejection_reason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Table" displayName="SourceNotesTable" ref="A1:F9">
  <tableColumns count="6">
    <tableColumn id="1" xr3:uid="{00000000-0010-0000-0200-000001000000}" name="source_platform"/>
    <tableColumn id="2" xr3:uid="{00000000-0010-0000-0200-000002000000}" name="assortment_quality"/>
    <tableColumn id="3" xr3:uid="{00000000-0010-0000-0200-000003000000}" name="dimension_quality"/>
    <tableColumn id="4" xr3:uid="{00000000-0010-0000-0200-000004000000}" name="affiliate_potential"/>
    <tableColumn id="5" xr3:uid="{00000000-0010-0000-0200-000005000000}" name="link_stability"/>
    <tableColumn id="6" xr3:uid="{00000000-0010-0000-0200-00000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filiateNotesTable" displayName="AffiliateNotesTable" ref="A1:E9">
  <tableColumns count="5">
    <tableColumn id="1" xr3:uid="{00000000-0010-0000-0300-000001000000}" name="source_platform"/>
    <tableColumn id="2" xr3:uid="{00000000-0010-0000-0300-000002000000}" name="affiliate_mechanic"/>
    <tableColumn id="3" xr3:uid="{00000000-0010-0000-0300-000003000000}" name="integration_complexity"/>
    <tableColumn id="4" xr3:uid="{00000000-0010-0000-0300-000004000000}" name="recommended_for_mvp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ssaryCheckTable" displayName="GlossaryCheckTable" ref="A1:E50">
  <tableColumns count="5">
    <tableColumn id="1" xr3:uid="{00000000-0010-0000-0400-000001000000}" name="field"/>
    <tableColumn id="2" xr3:uid="{00000000-0010-0000-0400-000002000000}" name="allowed_value"/>
    <tableColumn id="3" xr3:uid="{00000000-0010-0000-0400-000003000000}" name="count_in_sku_catalog"/>
    <tableColumn id="4" xr3:uid="{00000000-0010-0000-0400-000004000000}" name="invalid_count_for_field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TargetMode="External"/><Relationship Id="rId18" Type="http://schemas.openxmlformats.org/officeDocument/2006/relationships/hyperlink" Target="https://lemanapro.ru/product/organayzer-dlya-hraneniya-yiwu-24-yacheyki-1-sht-32x10x32-sm-oksford-cvet-seryy-91907290/" TargetMode="External"/><Relationship Id="rId26" Type="http://schemas.openxmlformats.org/officeDocument/2006/relationships/hyperlink" Target="https://market.yandex.ru/cc/9XTuXT" TargetMode="External"/><Relationship Id="rId39" Type="http://schemas.openxmlformats.org/officeDocument/2006/relationships/hyperlink" Target="https://market.yandex.ru/cc/9XTuDf" TargetMode="External"/><Relationship Id="rId21" Type="http://schemas.openxmlformats.org/officeDocument/2006/relationships/hyperlink" Target="https://vladivostok.lemanapro.ru/product/organayzer-dlya-hraneniya-yiwu-7-yacheek-1-sht-32x10x32-sm-oksford-cvet-seryy-91907295/" TargetMode="External"/><Relationship Id="rId34" Type="http://schemas.openxmlformats.org/officeDocument/2006/relationships/hyperlink" Target="https://market.yandex.ru/cc/9XTkug" TargetMode="External"/><Relationship Id="rId7" Type="http://schemas.openxmlformats.org/officeDocument/2006/relationships/hyperlink" Target="https://market.yandex.ru/product--organaizer-dlia-odezhdy-naivno-razmer-32x32x12/100172857?sku=102946780543&amp;uniqueId=112027373" TargetMode="External"/><Relationship Id="rId2" Type="http://schemas.openxmlformats.org/officeDocument/2006/relationships/hyperlink" Target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TargetMode="External"/><Relationship Id="rId16" Type="http://schemas.openxmlformats.org/officeDocument/2006/relationships/hyperlink" Target="https://hoff.ru/catalog/tovary_dlya_doma/hoztovary/tovary_dlya_hraneniya/kofry/kofr_dafl_id10943882/?articul=80774326" TargetMode="External"/><Relationship Id="rId20" Type="http://schemas.openxmlformats.org/officeDocument/2006/relationships/hyperlink" Target="https://orel.lemanapro.ru/product/organayzer-dlya-hraneniya-yiwu-16-yacheek-1-sht-32x10x32-sm-oksford-cvet-bezhevyy-91907287/" TargetMode="External"/><Relationship Id="rId29" Type="http://schemas.openxmlformats.org/officeDocument/2006/relationships/hyperlink" Target="https://www.ozon.ru/product/organayzer-dlya-hraneniya-25h45h18sm-2-shtuki-9-otdeleniy-1419215690/?at=08tY9NXjBc3loOMQf73pylNtApG4YwuV2x1DGfBXXpYw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market.yandex.ru/product--organaizer-dlia-khraneniia-belia-smart-24-iacheiki-32x32x10-sm-seryi/1931470136?sku=101862246886&amp;uniqueId=779271" TargetMode="External"/><Relationship Id="rId6" Type="http://schemas.openxmlformats.org/officeDocument/2006/relationships/hyperlink" Target="https://market.yandex.ru/product--orgvse/1822094980?sku=102421127108&amp;uniqueId=56188805" TargetMode="External"/><Relationship Id="rId11" Type="http://schemas.openxmlformats.org/officeDocument/2006/relationships/hyperlink" Target="https://www.ozon.ru/product/razdeliteli-dlya-yashchikov-soty-organayzer-dlya-hraneniya-veshchey-nabor-8-sht-179608270/?at=36tWPDOD7urzxYLRIKPl3wyiylB6MRcz0yAz9igwwvg0" TargetMode="External"/><Relationship Id="rId24" Type="http://schemas.openxmlformats.org/officeDocument/2006/relationships/hyperlink" Target="https://www.ozon.ru/product/organayzer-dlya-hraneniya-veshchey-kofr-dlya-belya-v-shkaf-zigzag-korob-dlya-odezhdy-yashchik-dlya-496248973/" TargetMode="External"/><Relationship Id="rId32" Type="http://schemas.openxmlformats.org/officeDocument/2006/relationships/hyperlink" Target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TargetMode="External"/><Relationship Id="rId37" Type="http://schemas.openxmlformats.org/officeDocument/2006/relationships/hyperlink" Target="https://market.yandex.ru/cc/9XTu6R" TargetMode="External"/><Relationship Id="rId40" Type="http://schemas.openxmlformats.org/officeDocument/2006/relationships/hyperlink" Target="https://market.yandex.ru/cc/9XTuj5" TargetMode="External"/><Relationship Id="rId5" Type="http://schemas.openxmlformats.org/officeDocument/2006/relationships/hyperlink" Target="https://market.yandex.ru/card/skladnoy-organayzer-dlya-dzhinsov-iz-neylona-seryy/103783314206" TargetMode="External"/><Relationship Id="rId15" Type="http://schemas.openxmlformats.org/officeDocument/2006/relationships/hyperlink" Target="https://hoff.ru/catalog/tovary_dlya_doma/hoztovary/tovary_dlya_hraneniya/kofry/" TargetMode="External"/><Relationship Id="rId23" Type="http://schemas.openxmlformats.org/officeDocument/2006/relationships/hyperlink" Target="https://www.ozon.ru/product/organayzer-dlya-nizhnego-belya-32h32h10sm-24-otdeleniya-1711446297/" TargetMode="External"/><Relationship Id="rId28" Type="http://schemas.openxmlformats.org/officeDocument/2006/relationships/hyperlink" Target="https://www.ozon.ru/product/kofr-dlya-hraneniya-veshchey-32-sm-h-16-sm-h-11-sm-1-sht-1302000829/?at=WPtNQr897H8X7GphkxDEXgFopRgzpHLYvkK3SoP2MxL" TargetMode="External"/><Relationship Id="rId36" Type="http://schemas.openxmlformats.org/officeDocument/2006/relationships/hyperlink" Target="https://market.yandex.ru/product--organaizer-dlia-khraneniia-belia-zigzag-7-iacheek-32x32x12-sm-tsvet-seryi/17424439?sku=102477030111&amp;uniqueId=779271" TargetMode="External"/><Relationship Id="rId10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9" Type="http://schemas.openxmlformats.org/officeDocument/2006/relationships/hyperlink" Target="https://lemanapro.ru/product/organayzer-dlya-hraneniya-yiwu-24-yacheyki-1-sht-32x10x32-sm-oksford-cvet-goluboy-91907292/" TargetMode="External"/><Relationship Id="rId31" Type="http://schemas.openxmlformats.org/officeDocument/2006/relationships/hyperlink" Target="https://www.wildberries.ru/catalog/138138391/detail.aspx?targetUrl=MI" TargetMode="External"/><Relationship Id="rId4" Type="http://schemas.openxmlformats.org/officeDocument/2006/relationships/hyperlink" Target="https://market.yandex.ru/product--organaizer-dlia-khraneniia-belia-7-otdelenii-34-30-5-10-sm-tsvet-seryi/883484487?sku=103633726428&amp;uniqueId=176385143" TargetMode="External"/><Relationship Id="rId9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4" Type="http://schemas.openxmlformats.org/officeDocument/2006/relationships/hyperlink" Target="https://hoff.ru/catalog/tovary_dlya_doma/hoztovary/tovary_dlya_hraneniya/kofry/nabor_kofrov_micasa_floral_id8338391/?articul=80422314" TargetMode="External"/><Relationship Id="rId22" Type="http://schemas.openxmlformats.org/officeDocument/2006/relationships/hyperlink" Target="https://www.ozon.ru/product/organayzer-dlya-hraneniya-belya-ladom-24-yacheyki-razmer-32h32h10-sm-metall-pvh-polipropilen-3545246831/" TargetMode="External"/><Relationship Id="rId27" Type="http://schemas.openxmlformats.org/officeDocument/2006/relationships/hyperlink" Target="https://www.ozon.ru/product/kofr-dlya-hraneniya-veshchey-32-sm-h-32-sm-h-11-sm-1-sht-1307012295/?at=28t045QlqsL6j4xQs2LgW3oUBrrKmAc6R4NvmiPlOOgK" TargetMode="External"/><Relationship Id="rId30" Type="http://schemas.openxmlformats.org/officeDocument/2006/relationships/hyperlink" Target="https://www.wildberries.ru/catalog/237022995/detail.aspx?targetUrl=MI" TargetMode="External"/><Relationship Id="rId35" Type="http://schemas.openxmlformats.org/officeDocument/2006/relationships/hyperlink" Target="https://market.yandex.ru/cc/9XTnxq" TargetMode="External"/><Relationship Id="rId8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3" Type="http://schemas.openxmlformats.org/officeDocument/2006/relationships/hyperlink" Target="https://lemanapro.ru/product/organayzer-dlya-hraneniya-yiwu-24-yacheyki-1-sht-32x10x32-sm-oksford-cvet-bezhevyy-91907286/" TargetMode="External"/><Relationship Id="rId12" Type="http://schemas.openxmlformats.org/officeDocument/2006/relationships/hyperlink" Target="https://market.yandex.ru/product--razdelitel-iashchikov-rks/928251042?sku=101217376005&amp;uniqueId=951940" TargetMode="External"/><Relationship Id="rId17" Type="http://schemas.openxmlformats.org/officeDocument/2006/relationships/hyperlink" Target="https://hoff.ru/catalog/tovary_dlya_doma/hoztovary/tovary_dlya_hraneniya/kofry/organayzer_foundation_id10197823/?articul=80630379" TargetMode="External"/><Relationship Id="rId25" Type="http://schemas.openxmlformats.org/officeDocument/2006/relationships/hyperlink" Target="https://www.ozon.ru/product/kofr-dlya-hraneniya-veshchey-h-32-sm-h-11-sm-1-sht-2242319514/?at=NOtwQkplKc3QPZKZfMEBZMMig60qDLSkZ27ErIZwQ1oE" TargetMode="External"/><Relationship Id="rId33" Type="http://schemas.openxmlformats.org/officeDocument/2006/relationships/hyperlink" Target="https://www.ozon.ru/product/keep-house-organayzer-dlya-belya-odezhdy44h25h22-sm-3084755698/?at=16tL0A20kCm63vKVI78PJXJU2MwJN3TQR8gGls0jMMEo" TargetMode="External"/><Relationship Id="rId38" Type="http://schemas.openxmlformats.org/officeDocument/2006/relationships/hyperlink" Target="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"/>
  <sheetViews>
    <sheetView tabSelected="1" zoomScale="97" workbookViewId="0">
      <selection activeCell="D1" sqref="D1:D1048576"/>
    </sheetView>
  </sheetViews>
  <sheetFormatPr defaultRowHeight="13.8"/>
  <cols>
    <col min="1" max="1" width="14" customWidth="1"/>
    <col min="2" max="3" width="18" customWidth="1"/>
    <col min="4" max="4" width="42" customWidth="1"/>
    <col min="5" max="5" width="48" customWidth="1"/>
    <col min="6" max="6" width="32" customWidth="1"/>
    <col min="7" max="7" width="11.3984375" customWidth="1"/>
    <col min="8" max="8" width="10.8984375" customWidth="1"/>
    <col min="9" max="9" width="18" customWidth="1"/>
    <col min="10" max="10" width="8.296875" customWidth="1"/>
    <col min="11" max="11" width="8.8984375" customWidth="1"/>
    <col min="12" max="12" width="8" customWidth="1"/>
    <col min="13" max="13" width="7.59765625" customWidth="1"/>
    <col min="14" max="14" width="6.69921875" customWidth="1"/>
    <col min="15" max="15" width="6.3984375" customWidth="1"/>
    <col min="16" max="16" width="8.3984375" customWidth="1"/>
    <col min="17" max="17" width="11.59765625" customWidth="1"/>
    <col min="18" max="18" width="9.3984375" customWidth="1"/>
    <col min="19" max="19" width="8.09765625" customWidth="1"/>
    <col min="20" max="20" width="12.5" customWidth="1"/>
    <col min="21" max="27" width="16" customWidth="1"/>
    <col min="28" max="28" width="12" customWidth="1"/>
    <col min="29" max="29" width="5.09765625" customWidth="1"/>
    <col min="30" max="30" width="3.8984375" customWidth="1"/>
    <col min="31" max="31" width="5" customWidth="1"/>
    <col min="32" max="32" width="5.19921875" customWidth="1"/>
    <col min="33" max="33" width="5.09765625" customWidth="1"/>
    <col min="34" max="34" width="4.5" customWidth="1"/>
    <col min="35" max="35" width="8.8984375" customWidth="1"/>
    <col min="36" max="36" width="12" customWidth="1"/>
    <col min="37" max="37" width="12.8984375" customWidth="1"/>
    <col min="38" max="38" width="18" customWidth="1"/>
    <col min="39" max="40" width="36" customWidth="1"/>
  </cols>
  <sheetData>
    <row r="1" spans="1:42" ht="18.3" customHeight="1">
      <c r="A1" s="13" t="s">
        <v>51</v>
      </c>
      <c r="B1" s="13" t="s">
        <v>0</v>
      </c>
      <c r="C1" s="13" t="s">
        <v>52</v>
      </c>
      <c r="D1" s="13" t="s">
        <v>53</v>
      </c>
      <c r="E1" s="13" t="s">
        <v>54</v>
      </c>
      <c r="F1" s="13" t="s">
        <v>56</v>
      </c>
      <c r="G1" s="13" t="s">
        <v>57</v>
      </c>
      <c r="H1" s="13" t="s">
        <v>58</v>
      </c>
      <c r="I1" s="13" t="s">
        <v>59</v>
      </c>
      <c r="J1" s="13" t="s">
        <v>529</v>
      </c>
      <c r="K1" s="13" t="s">
        <v>60</v>
      </c>
      <c r="L1" s="13" t="s">
        <v>61</v>
      </c>
      <c r="M1" s="13" t="s">
        <v>62</v>
      </c>
      <c r="N1" s="13" t="s">
        <v>63</v>
      </c>
      <c r="O1" s="13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3" t="s">
        <v>69</v>
      </c>
      <c r="U1" s="13" t="s">
        <v>70</v>
      </c>
      <c r="V1" s="13" t="s">
        <v>71</v>
      </c>
      <c r="W1" s="13" t="s">
        <v>72</v>
      </c>
      <c r="X1" s="13" t="s">
        <v>73</v>
      </c>
      <c r="Y1" s="13" t="s">
        <v>74</v>
      </c>
      <c r="Z1" s="13" t="s">
        <v>75</v>
      </c>
      <c r="AA1" s="13" t="s">
        <v>76</v>
      </c>
      <c r="AB1" s="13" t="s">
        <v>77</v>
      </c>
      <c r="AC1" s="13" t="s">
        <v>78</v>
      </c>
      <c r="AD1" s="13" t="s">
        <v>79</v>
      </c>
      <c r="AE1" s="13" t="s">
        <v>80</v>
      </c>
      <c r="AF1" s="13" t="s">
        <v>81</v>
      </c>
      <c r="AG1" s="13" t="s">
        <v>82</v>
      </c>
      <c r="AH1" s="13" t="s">
        <v>83</v>
      </c>
      <c r="AI1" s="13" t="s">
        <v>84</v>
      </c>
      <c r="AJ1" s="13" t="s">
        <v>85</v>
      </c>
      <c r="AK1" s="13" t="s">
        <v>591</v>
      </c>
      <c r="AL1" s="13" t="s">
        <v>86</v>
      </c>
      <c r="AM1" s="13" t="s">
        <v>87</v>
      </c>
      <c r="AN1" s="13" t="s">
        <v>88</v>
      </c>
      <c r="AO1" s="13" t="s">
        <v>89</v>
      </c>
      <c r="AP1" s="13" t="s">
        <v>90</v>
      </c>
    </row>
    <row r="2" spans="1:42" ht="27.6" customHeight="1">
      <c r="A2" t="s">
        <v>298</v>
      </c>
      <c r="B2" s="6" t="s">
        <v>536</v>
      </c>
      <c r="C2" s="6" t="s">
        <v>130</v>
      </c>
      <c r="D2" s="6" t="s">
        <v>565</v>
      </c>
      <c r="E2" s="4" t="s">
        <v>566</v>
      </c>
      <c r="F2" s="6" t="s">
        <v>568</v>
      </c>
      <c r="G2" s="6" t="s">
        <v>97</v>
      </c>
      <c r="H2" s="6" t="s">
        <v>132</v>
      </c>
      <c r="I2" s="15"/>
      <c r="J2" s="15">
        <v>1</v>
      </c>
      <c r="K2" s="15">
        <v>12.3</v>
      </c>
      <c r="L2" s="15">
        <v>21</v>
      </c>
      <c r="M2" s="6">
        <v>2.5</v>
      </c>
      <c r="N2" s="15" t="s">
        <v>33</v>
      </c>
      <c r="O2" s="15">
        <v>6</v>
      </c>
      <c r="P2" s="15">
        <v>3</v>
      </c>
      <c r="Q2" s="15">
        <v>18</v>
      </c>
      <c r="R2" s="15" t="s">
        <v>100</v>
      </c>
      <c r="S2" s="15">
        <v>4</v>
      </c>
      <c r="T2" s="6">
        <v>4</v>
      </c>
      <c r="U2" s="6" t="s">
        <v>101</v>
      </c>
      <c r="V2" s="6" t="s">
        <v>102</v>
      </c>
      <c r="W2" s="6" t="s">
        <v>200</v>
      </c>
      <c r="X2" s="6" t="s">
        <v>9</v>
      </c>
      <c r="Y2" s="6" t="s">
        <v>567</v>
      </c>
      <c r="Z2" s="6" t="s">
        <v>143</v>
      </c>
      <c r="AA2" s="6" t="s">
        <v>150</v>
      </c>
      <c r="AB2" s="6" t="s">
        <v>9</v>
      </c>
      <c r="AC2" s="6" t="s">
        <v>47</v>
      </c>
      <c r="AD2" s="6" t="s">
        <v>33</v>
      </c>
      <c r="AE2" s="6" t="s">
        <v>47</v>
      </c>
      <c r="AF2" s="6" t="s">
        <v>47</v>
      </c>
      <c r="AG2" s="6" t="s">
        <v>47</v>
      </c>
      <c r="AH2" s="6" t="s">
        <v>47</v>
      </c>
      <c r="AI2" s="6">
        <v>370</v>
      </c>
      <c r="AJ2" s="6" t="s">
        <v>107</v>
      </c>
      <c r="AK2" s="6"/>
      <c r="AL2" s="6" t="s">
        <v>227</v>
      </c>
      <c r="AM2" s="8">
        <v>46157</v>
      </c>
      <c r="AN2" s="6"/>
      <c r="AO2" s="6"/>
      <c r="AP2" s="6"/>
    </row>
    <row r="3" spans="1:42" ht="27.6" customHeight="1">
      <c r="A3" t="s">
        <v>349</v>
      </c>
      <c r="B3" s="6" t="s">
        <v>536</v>
      </c>
      <c r="C3" s="6" t="s">
        <v>399</v>
      </c>
      <c r="D3" s="6" t="s">
        <v>512</v>
      </c>
      <c r="E3" s="4" t="s">
        <v>513</v>
      </c>
      <c r="F3" s="6" t="s">
        <v>515</v>
      </c>
      <c r="G3" s="6" t="s">
        <v>97</v>
      </c>
      <c r="H3" s="6" t="s">
        <v>132</v>
      </c>
      <c r="I3" s="6"/>
      <c r="J3" s="6"/>
      <c r="K3" s="6">
        <v>16</v>
      </c>
      <c r="L3" s="6">
        <v>28</v>
      </c>
      <c r="M3" s="6">
        <v>6.5</v>
      </c>
      <c r="N3" s="6" t="s">
        <v>33</v>
      </c>
      <c r="O3" s="6">
        <v>3</v>
      </c>
      <c r="P3" s="6">
        <v>2</v>
      </c>
      <c r="Q3" s="6">
        <v>6</v>
      </c>
      <c r="R3" s="6" t="s">
        <v>395</v>
      </c>
      <c r="S3" s="6">
        <v>7</v>
      </c>
      <c r="T3" s="6">
        <v>8.5</v>
      </c>
      <c r="U3" s="6" t="s">
        <v>198</v>
      </c>
      <c r="V3" s="6" t="s">
        <v>199</v>
      </c>
      <c r="W3" s="6" t="s">
        <v>200</v>
      </c>
      <c r="X3" s="6" t="s">
        <v>9</v>
      </c>
      <c r="Y3" s="6" t="s">
        <v>404</v>
      </c>
      <c r="Z3" s="6" t="s">
        <v>405</v>
      </c>
      <c r="AA3" s="6" t="s">
        <v>406</v>
      </c>
      <c r="AB3" s="6" t="s">
        <v>7</v>
      </c>
      <c r="AC3" s="6" t="s">
        <v>47</v>
      </c>
      <c r="AD3" s="6" t="s">
        <v>33</v>
      </c>
      <c r="AE3" s="6" t="s">
        <v>47</v>
      </c>
      <c r="AF3" s="6" t="s">
        <v>47</v>
      </c>
      <c r="AG3" s="6" t="s">
        <v>47</v>
      </c>
      <c r="AH3" s="6" t="s">
        <v>47</v>
      </c>
      <c r="AI3" s="6">
        <v>635</v>
      </c>
      <c r="AJ3" s="6" t="s">
        <v>107</v>
      </c>
      <c r="AK3" s="6"/>
      <c r="AL3" s="6" t="s">
        <v>227</v>
      </c>
      <c r="AM3" s="8">
        <v>46156</v>
      </c>
      <c r="AN3" s="6"/>
      <c r="AO3" s="6"/>
      <c r="AP3" s="6" t="s">
        <v>9</v>
      </c>
    </row>
    <row r="4" spans="1:42" ht="27.6" customHeight="1">
      <c r="A4" t="s">
        <v>171</v>
      </c>
      <c r="B4" s="6" t="s">
        <v>536</v>
      </c>
      <c r="C4" s="6" t="s">
        <v>189</v>
      </c>
      <c r="D4" s="6" t="s">
        <v>190</v>
      </c>
      <c r="E4" s="4" t="s">
        <v>507</v>
      </c>
      <c r="F4" s="6" t="s">
        <v>508</v>
      </c>
      <c r="G4" s="6" t="s">
        <v>192</v>
      </c>
      <c r="H4" s="6" t="s">
        <v>132</v>
      </c>
      <c r="I4" s="15" t="s">
        <v>193</v>
      </c>
      <c r="J4" s="15">
        <v>1</v>
      </c>
      <c r="K4" s="15">
        <v>36</v>
      </c>
      <c r="L4" s="15">
        <v>25</v>
      </c>
      <c r="M4" s="6">
        <v>7</v>
      </c>
      <c r="N4" s="15" t="s">
        <v>33</v>
      </c>
      <c r="O4" s="15">
        <v>6</v>
      </c>
      <c r="P4" s="15">
        <v>3</v>
      </c>
      <c r="Q4" s="15">
        <v>18</v>
      </c>
      <c r="R4" s="15" t="s">
        <v>100</v>
      </c>
      <c r="S4" s="15">
        <v>7.5</v>
      </c>
      <c r="T4" s="6">
        <v>8.3000000000000007</v>
      </c>
      <c r="U4" s="6" t="s">
        <v>122</v>
      </c>
      <c r="V4" s="6" t="s">
        <v>123</v>
      </c>
      <c r="W4" s="6" t="s">
        <v>103</v>
      </c>
      <c r="X4" s="6" t="s">
        <v>7</v>
      </c>
      <c r="Y4" s="6" t="s">
        <v>134</v>
      </c>
      <c r="Z4" s="6" t="s">
        <v>135</v>
      </c>
      <c r="AA4" s="6" t="s">
        <v>136</v>
      </c>
      <c r="AB4" s="6" t="s">
        <v>7</v>
      </c>
      <c r="AC4" s="6" t="s">
        <v>47</v>
      </c>
      <c r="AD4" s="6" t="s">
        <v>47</v>
      </c>
      <c r="AE4" s="7" t="s">
        <v>47</v>
      </c>
      <c r="AF4" s="6" t="s">
        <v>33</v>
      </c>
      <c r="AG4" s="6" t="s">
        <v>33</v>
      </c>
      <c r="AH4" s="6" t="s">
        <v>33</v>
      </c>
      <c r="AI4" s="6"/>
      <c r="AJ4" s="6" t="s">
        <v>107</v>
      </c>
      <c r="AK4" s="6"/>
      <c r="AL4" s="6" t="s">
        <v>108</v>
      </c>
      <c r="AM4" s="8">
        <v>46156</v>
      </c>
      <c r="AN4" s="6" t="s">
        <v>194</v>
      </c>
      <c r="AO4" s="6" t="s">
        <v>195</v>
      </c>
      <c r="AP4" s="6" t="s">
        <v>7</v>
      </c>
    </row>
    <row r="5" spans="1:42" ht="27.6" customHeight="1">
      <c r="A5" t="s">
        <v>182</v>
      </c>
      <c r="B5" s="6" t="s">
        <v>536</v>
      </c>
      <c r="C5" s="6" t="s">
        <v>189</v>
      </c>
      <c r="D5" s="6" t="s">
        <v>190</v>
      </c>
      <c r="E5" s="4" t="s">
        <v>507</v>
      </c>
      <c r="F5" s="6" t="s">
        <v>508</v>
      </c>
      <c r="G5" s="6" t="s">
        <v>192</v>
      </c>
      <c r="H5" s="6" t="s">
        <v>132</v>
      </c>
      <c r="I5" s="15" t="s">
        <v>193</v>
      </c>
      <c r="J5" s="15">
        <v>1</v>
      </c>
      <c r="K5" s="15">
        <f>SkuCatalogTable[[#This Row],[cols]]*SkuCatalogTable[[#This Row],[cell_width_cm]]</f>
        <v>67.5</v>
      </c>
      <c r="L5" s="15">
        <v>13</v>
      </c>
      <c r="M5" s="6">
        <v>7</v>
      </c>
      <c r="N5" s="15" t="s">
        <v>33</v>
      </c>
      <c r="O5" s="15">
        <v>9</v>
      </c>
      <c r="P5" s="15">
        <v>2</v>
      </c>
      <c r="Q5" s="15">
        <v>18</v>
      </c>
      <c r="R5" s="15" t="s">
        <v>100</v>
      </c>
      <c r="S5" s="15">
        <v>7.5</v>
      </c>
      <c r="T5" s="6">
        <v>8.3000000000000007</v>
      </c>
      <c r="U5" s="6" t="s">
        <v>122</v>
      </c>
      <c r="V5" s="6" t="s">
        <v>123</v>
      </c>
      <c r="W5" s="6" t="s">
        <v>103</v>
      </c>
      <c r="X5" s="6" t="s">
        <v>7</v>
      </c>
      <c r="Y5" s="6" t="s">
        <v>134</v>
      </c>
      <c r="Z5" s="6" t="s">
        <v>135</v>
      </c>
      <c r="AA5" s="6" t="s">
        <v>136</v>
      </c>
      <c r="AB5" s="6" t="s">
        <v>7</v>
      </c>
      <c r="AC5" s="6" t="s">
        <v>47</v>
      </c>
      <c r="AD5" s="6" t="s">
        <v>47</v>
      </c>
      <c r="AE5" s="7" t="s">
        <v>47</v>
      </c>
      <c r="AF5" s="6" t="s">
        <v>33</v>
      </c>
      <c r="AG5" s="6" t="s">
        <v>33</v>
      </c>
      <c r="AH5" s="6" t="s">
        <v>33</v>
      </c>
      <c r="AI5" s="6"/>
      <c r="AJ5" s="6" t="s">
        <v>107</v>
      </c>
      <c r="AK5" s="6"/>
      <c r="AL5" s="6" t="s">
        <v>108</v>
      </c>
      <c r="AM5" s="8">
        <v>46156</v>
      </c>
      <c r="AN5" s="6" t="s">
        <v>194</v>
      </c>
      <c r="AO5" s="6" t="s">
        <v>195</v>
      </c>
      <c r="AP5" s="6" t="s">
        <v>7</v>
      </c>
    </row>
    <row r="6" spans="1:42" ht="27.6" customHeight="1">
      <c r="A6" t="s">
        <v>187</v>
      </c>
      <c r="B6" s="6" t="s">
        <v>536</v>
      </c>
      <c r="C6" s="6" t="s">
        <v>189</v>
      </c>
      <c r="D6" s="6" t="s">
        <v>190</v>
      </c>
      <c r="E6" s="4" t="s">
        <v>507</v>
      </c>
      <c r="F6" s="6" t="s">
        <v>508</v>
      </c>
      <c r="G6" s="6" t="s">
        <v>192</v>
      </c>
      <c r="H6" s="6" t="s">
        <v>132</v>
      </c>
      <c r="I6" s="15" t="s">
        <v>193</v>
      </c>
      <c r="J6" s="15">
        <v>1</v>
      </c>
      <c r="K6" s="15">
        <f>SkuCatalogTable[[#This Row],[cols]]*SkuCatalogTable[[#This Row],[cell_width_cm]]</f>
        <v>135</v>
      </c>
      <c r="L6" s="15">
        <f>SkuCatalogTable[[#This Row],[rows]]*SkuCatalogTable[[#This Row],[cell_depth_cm]]</f>
        <v>8.3000000000000007</v>
      </c>
      <c r="M6" s="6">
        <v>7</v>
      </c>
      <c r="N6" s="15" t="s">
        <v>33</v>
      </c>
      <c r="O6" s="15">
        <v>18</v>
      </c>
      <c r="P6" s="15">
        <v>1</v>
      </c>
      <c r="Q6" s="15">
        <v>18</v>
      </c>
      <c r="R6" s="15" t="s">
        <v>100</v>
      </c>
      <c r="S6" s="15">
        <v>7.5</v>
      </c>
      <c r="T6" s="6">
        <v>8.3000000000000007</v>
      </c>
      <c r="U6" s="6" t="s">
        <v>122</v>
      </c>
      <c r="V6" s="6" t="s">
        <v>123</v>
      </c>
      <c r="W6" s="6" t="s">
        <v>103</v>
      </c>
      <c r="X6" s="6" t="s">
        <v>7</v>
      </c>
      <c r="Y6" s="6" t="s">
        <v>134</v>
      </c>
      <c r="Z6" s="6" t="s">
        <v>135</v>
      </c>
      <c r="AA6" s="6" t="s">
        <v>136</v>
      </c>
      <c r="AB6" s="6" t="s">
        <v>7</v>
      </c>
      <c r="AC6" s="6" t="s">
        <v>47</v>
      </c>
      <c r="AD6" s="6" t="s">
        <v>47</v>
      </c>
      <c r="AE6" s="7" t="s">
        <v>47</v>
      </c>
      <c r="AF6" s="6" t="s">
        <v>33</v>
      </c>
      <c r="AG6" s="6" t="s">
        <v>33</v>
      </c>
      <c r="AH6" s="6" t="s">
        <v>33</v>
      </c>
      <c r="AI6" s="6"/>
      <c r="AJ6" s="6" t="s">
        <v>107</v>
      </c>
      <c r="AK6" s="6"/>
      <c r="AL6" s="6" t="s">
        <v>108</v>
      </c>
      <c r="AM6" s="8">
        <v>46156</v>
      </c>
      <c r="AN6" s="6" t="s">
        <v>194</v>
      </c>
      <c r="AO6" s="6" t="s">
        <v>195</v>
      </c>
      <c r="AP6" s="6" t="s">
        <v>7</v>
      </c>
    </row>
    <row r="7" spans="1:42" ht="27.6" hidden="1" customHeight="1">
      <c r="A7" t="s">
        <v>188</v>
      </c>
      <c r="B7" s="6" t="s">
        <v>15</v>
      </c>
      <c r="C7" s="6" t="s">
        <v>509</v>
      </c>
      <c r="D7" s="6" t="s">
        <v>196</v>
      </c>
      <c r="E7" s="4" t="s">
        <v>510</v>
      </c>
      <c r="F7" s="6" t="s">
        <v>511</v>
      </c>
      <c r="G7" s="6" t="s">
        <v>192</v>
      </c>
      <c r="H7" s="6" t="s">
        <v>132</v>
      </c>
      <c r="I7" s="15" t="s">
        <v>197</v>
      </c>
      <c r="J7" s="15">
        <v>1</v>
      </c>
      <c r="K7" s="15">
        <v>36.299999999999997</v>
      </c>
      <c r="L7" s="15">
        <v>16.5</v>
      </c>
      <c r="M7" s="6">
        <v>6.7</v>
      </c>
      <c r="N7" s="15" t="s">
        <v>33</v>
      </c>
      <c r="O7" s="15">
        <v>4</v>
      </c>
      <c r="P7" s="15">
        <v>2</v>
      </c>
      <c r="Q7" s="15">
        <v>18</v>
      </c>
      <c r="R7" s="15" t="s">
        <v>167</v>
      </c>
      <c r="S7" s="15">
        <v>7.6</v>
      </c>
      <c r="T7" s="6">
        <v>8.4</v>
      </c>
      <c r="U7" s="6" t="s">
        <v>198</v>
      </c>
      <c r="V7" s="6" t="s">
        <v>199</v>
      </c>
      <c r="W7" s="6" t="s">
        <v>200</v>
      </c>
      <c r="X7" s="6" t="s">
        <v>7</v>
      </c>
      <c r="Y7" s="6" t="s">
        <v>134</v>
      </c>
      <c r="Z7" s="6" t="s">
        <v>135</v>
      </c>
      <c r="AA7" s="6" t="s">
        <v>136</v>
      </c>
      <c r="AB7" s="6" t="s">
        <v>7</v>
      </c>
      <c r="AC7" s="6" t="s">
        <v>47</v>
      </c>
      <c r="AD7" s="6" t="s">
        <v>47</v>
      </c>
      <c r="AE7" s="7" t="s">
        <v>47</v>
      </c>
      <c r="AF7" s="6" t="s">
        <v>33</v>
      </c>
      <c r="AG7" s="6" t="s">
        <v>33</v>
      </c>
      <c r="AH7" s="6" t="s">
        <v>33</v>
      </c>
      <c r="AI7" s="6"/>
      <c r="AJ7" s="6" t="s">
        <v>107</v>
      </c>
      <c r="AK7" s="6"/>
      <c r="AL7" s="6" t="s">
        <v>108</v>
      </c>
      <c r="AM7" s="8">
        <v>46156</v>
      </c>
      <c r="AN7" s="6" t="s">
        <v>201</v>
      </c>
      <c r="AO7" s="6" t="s">
        <v>202</v>
      </c>
      <c r="AP7" s="6" t="s">
        <v>9</v>
      </c>
    </row>
    <row r="8" spans="1:42" ht="26.4" customHeight="1">
      <c r="A8" s="7" t="s">
        <v>91</v>
      </c>
      <c r="B8" s="6" t="s">
        <v>536</v>
      </c>
      <c r="C8" s="6" t="s">
        <v>92</v>
      </c>
      <c r="D8" s="6" t="s">
        <v>93</v>
      </c>
      <c r="E8" s="4" t="s">
        <v>94</v>
      </c>
      <c r="F8" s="6" t="s">
        <v>494</v>
      </c>
      <c r="G8" s="6" t="s">
        <v>97</v>
      </c>
      <c r="H8" s="6" t="s">
        <v>121</v>
      </c>
      <c r="I8" s="15" t="s">
        <v>99</v>
      </c>
      <c r="J8" s="15">
        <v>1</v>
      </c>
      <c r="K8" s="15">
        <v>32</v>
      </c>
      <c r="L8" s="15">
        <v>32</v>
      </c>
      <c r="M8" s="6">
        <v>10</v>
      </c>
      <c r="N8" s="15" t="s">
        <v>33</v>
      </c>
      <c r="O8" s="15">
        <v>4</v>
      </c>
      <c r="P8" s="15">
        <v>6</v>
      </c>
      <c r="Q8" s="15">
        <v>24</v>
      </c>
      <c r="R8" s="15" t="s">
        <v>100</v>
      </c>
      <c r="S8" s="15">
        <v>8</v>
      </c>
      <c r="T8" s="6">
        <v>5.3</v>
      </c>
      <c r="U8" s="6" t="s">
        <v>101</v>
      </c>
      <c r="V8" s="6" t="s">
        <v>102</v>
      </c>
      <c r="W8" s="6" t="s">
        <v>103</v>
      </c>
      <c r="X8" s="6" t="s">
        <v>7</v>
      </c>
      <c r="Y8" s="6" t="s">
        <v>104</v>
      </c>
      <c r="Z8" s="6" t="s">
        <v>105</v>
      </c>
      <c r="AA8" s="6" t="s">
        <v>106</v>
      </c>
      <c r="AB8" s="6" t="s">
        <v>7</v>
      </c>
      <c r="AC8" s="6" t="s">
        <v>47</v>
      </c>
      <c r="AD8" s="6" t="s">
        <v>33</v>
      </c>
      <c r="AE8" s="7" t="s">
        <v>33</v>
      </c>
      <c r="AF8" s="6" t="s">
        <v>47</v>
      </c>
      <c r="AG8" s="6" t="s">
        <v>47</v>
      </c>
      <c r="AH8" s="6" t="s">
        <v>47</v>
      </c>
      <c r="AI8" s="6">
        <v>551</v>
      </c>
      <c r="AJ8" s="6" t="s">
        <v>107</v>
      </c>
      <c r="AK8" s="6"/>
      <c r="AL8" s="6" t="s">
        <v>108</v>
      </c>
      <c r="AM8" s="8">
        <v>46156</v>
      </c>
      <c r="AN8" s="6" t="s">
        <v>110</v>
      </c>
      <c r="AO8" s="6"/>
      <c r="AP8" s="6" t="s">
        <v>7</v>
      </c>
    </row>
    <row r="9" spans="1:42" ht="27.6" customHeight="1">
      <c r="A9" s="7" t="s">
        <v>111</v>
      </c>
      <c r="B9" s="6" t="s">
        <v>536</v>
      </c>
      <c r="C9" s="6" t="s">
        <v>92</v>
      </c>
      <c r="D9" s="6" t="s">
        <v>112</v>
      </c>
      <c r="E9" s="4" t="s">
        <v>495</v>
      </c>
      <c r="F9" s="6" t="s">
        <v>494</v>
      </c>
      <c r="G9" s="6" t="s">
        <v>97</v>
      </c>
      <c r="H9" s="6" t="s">
        <v>121</v>
      </c>
      <c r="I9" s="15" t="s">
        <v>113</v>
      </c>
      <c r="J9" s="15">
        <v>1</v>
      </c>
      <c r="K9" s="15">
        <v>32</v>
      </c>
      <c r="L9" s="15">
        <v>32</v>
      </c>
      <c r="M9" s="6">
        <v>10</v>
      </c>
      <c r="N9" s="15" t="s">
        <v>33</v>
      </c>
      <c r="O9" s="15">
        <v>4</v>
      </c>
      <c r="P9" s="15">
        <v>6</v>
      </c>
      <c r="Q9" s="15">
        <v>24</v>
      </c>
      <c r="R9" s="15" t="s">
        <v>100</v>
      </c>
      <c r="S9" s="15">
        <v>8</v>
      </c>
      <c r="T9" s="6">
        <v>5.3</v>
      </c>
      <c r="U9" s="6" t="s">
        <v>101</v>
      </c>
      <c r="V9" s="6" t="s">
        <v>102</v>
      </c>
      <c r="W9" s="6" t="s">
        <v>103</v>
      </c>
      <c r="X9" s="6" t="s">
        <v>7</v>
      </c>
      <c r="Y9" s="6" t="s">
        <v>114</v>
      </c>
      <c r="Z9" s="6" t="s">
        <v>105</v>
      </c>
      <c r="AA9" s="6" t="s">
        <v>106</v>
      </c>
      <c r="AB9" s="6" t="s">
        <v>7</v>
      </c>
      <c r="AC9" s="6" t="s">
        <v>47</v>
      </c>
      <c r="AD9" s="6" t="s">
        <v>33</v>
      </c>
      <c r="AE9" s="7" t="s">
        <v>33</v>
      </c>
      <c r="AF9" s="6" t="s">
        <v>47</v>
      </c>
      <c r="AG9" s="6" t="s">
        <v>47</v>
      </c>
      <c r="AH9" s="6" t="s">
        <v>47</v>
      </c>
      <c r="AI9" s="6"/>
      <c r="AJ9" s="6" t="s">
        <v>107</v>
      </c>
      <c r="AK9" s="6"/>
      <c r="AL9" s="6" t="s">
        <v>108</v>
      </c>
      <c r="AM9" s="8">
        <v>46156</v>
      </c>
      <c r="AN9" s="6" t="s">
        <v>115</v>
      </c>
      <c r="AO9" s="6" t="s">
        <v>116</v>
      </c>
      <c r="AP9" s="6" t="s">
        <v>9</v>
      </c>
    </row>
    <row r="10" spans="1:42" ht="27.6" customHeight="1">
      <c r="A10" s="12" t="s">
        <v>117</v>
      </c>
      <c r="B10" s="6" t="s">
        <v>536</v>
      </c>
      <c r="C10" s="6" t="s">
        <v>118</v>
      </c>
      <c r="D10" s="6" t="s">
        <v>119</v>
      </c>
      <c r="E10" s="4" t="s">
        <v>595</v>
      </c>
      <c r="F10" s="6" t="s">
        <v>496</v>
      </c>
      <c r="G10" s="6" t="s">
        <v>97</v>
      </c>
      <c r="H10" s="6" t="s">
        <v>121</v>
      </c>
      <c r="I10" s="15" t="s">
        <v>99</v>
      </c>
      <c r="J10" s="15">
        <v>1</v>
      </c>
      <c r="K10" s="15">
        <v>32</v>
      </c>
      <c r="L10" s="15">
        <v>32</v>
      </c>
      <c r="M10" s="6">
        <v>10</v>
      </c>
      <c r="N10" s="15" t="s">
        <v>33</v>
      </c>
      <c r="O10" s="15">
        <v>4</v>
      </c>
      <c r="P10" s="15">
        <v>6</v>
      </c>
      <c r="Q10" s="15">
        <v>24</v>
      </c>
      <c r="R10" s="15" t="s">
        <v>100</v>
      </c>
      <c r="S10" s="15">
        <v>8</v>
      </c>
      <c r="T10" s="6">
        <v>5.3</v>
      </c>
      <c r="U10" s="6" t="s">
        <v>122</v>
      </c>
      <c r="V10" s="6" t="s">
        <v>123</v>
      </c>
      <c r="W10" s="6" t="s">
        <v>103</v>
      </c>
      <c r="X10" s="6" t="s">
        <v>7</v>
      </c>
      <c r="Y10" s="6" t="s">
        <v>124</v>
      </c>
      <c r="Z10" s="6" t="s">
        <v>125</v>
      </c>
      <c r="AA10" s="6" t="s">
        <v>126</v>
      </c>
      <c r="AB10" s="6" t="s">
        <v>7</v>
      </c>
      <c r="AC10" s="6" t="s">
        <v>47</v>
      </c>
      <c r="AD10" s="6" t="s">
        <v>33</v>
      </c>
      <c r="AE10" s="7" t="s">
        <v>33</v>
      </c>
      <c r="AF10" s="6" t="s">
        <v>47</v>
      </c>
      <c r="AG10" s="6" t="s">
        <v>47</v>
      </c>
      <c r="AH10" s="6" t="s">
        <v>47</v>
      </c>
      <c r="AI10" s="6">
        <v>392</v>
      </c>
      <c r="AJ10" s="6" t="s">
        <v>107</v>
      </c>
      <c r="AK10" s="6"/>
      <c r="AL10" s="6" t="s">
        <v>108</v>
      </c>
      <c r="AM10" s="8">
        <v>46156</v>
      </c>
      <c r="AN10" s="6" t="s">
        <v>127</v>
      </c>
      <c r="AO10" s="6" t="s">
        <v>128</v>
      </c>
      <c r="AP10" s="6" t="s">
        <v>9</v>
      </c>
    </row>
    <row r="11" spans="1:42" ht="27.6" customHeight="1">
      <c r="A11" s="12" t="s">
        <v>162</v>
      </c>
      <c r="B11" s="6" t="s">
        <v>536</v>
      </c>
      <c r="C11" s="6" t="s">
        <v>172</v>
      </c>
      <c r="D11" s="6" t="s">
        <v>173</v>
      </c>
      <c r="E11" s="4" t="s">
        <v>596</v>
      </c>
      <c r="F11" s="6" t="s">
        <v>504</v>
      </c>
      <c r="G11" s="6" t="s">
        <v>97</v>
      </c>
      <c r="H11" s="6" t="s">
        <v>121</v>
      </c>
      <c r="I11" s="15" t="s">
        <v>176</v>
      </c>
      <c r="J11" s="15">
        <v>1</v>
      </c>
      <c r="K11" s="15">
        <v>24</v>
      </c>
      <c r="L11" s="15">
        <v>32</v>
      </c>
      <c r="M11" s="6">
        <v>10</v>
      </c>
      <c r="N11" s="15" t="s">
        <v>33</v>
      </c>
      <c r="O11" s="15">
        <v>4</v>
      </c>
      <c r="P11" s="15">
        <v>3</v>
      </c>
      <c r="Q11" s="15">
        <v>12</v>
      </c>
      <c r="R11" s="15" t="s">
        <v>167</v>
      </c>
      <c r="S11" s="15">
        <v>8</v>
      </c>
      <c r="T11" s="6">
        <v>8</v>
      </c>
      <c r="U11" s="6" t="s">
        <v>177</v>
      </c>
      <c r="V11" s="6" t="s">
        <v>102</v>
      </c>
      <c r="W11" s="6" t="s">
        <v>103</v>
      </c>
      <c r="X11" s="6" t="s">
        <v>7</v>
      </c>
      <c r="Y11" s="6" t="s">
        <v>178</v>
      </c>
      <c r="Z11" s="6" t="s">
        <v>105</v>
      </c>
      <c r="AA11" s="6" t="s">
        <v>150</v>
      </c>
      <c r="AB11" s="6" t="s">
        <v>7</v>
      </c>
      <c r="AC11" s="6" t="s">
        <v>47</v>
      </c>
      <c r="AD11" s="6" t="s">
        <v>33</v>
      </c>
      <c r="AE11" s="7" t="s">
        <v>33</v>
      </c>
      <c r="AF11" s="6" t="s">
        <v>47</v>
      </c>
      <c r="AG11" s="6" t="s">
        <v>47</v>
      </c>
      <c r="AH11" s="6" t="s">
        <v>47</v>
      </c>
      <c r="AI11" s="6"/>
      <c r="AJ11" s="6" t="s">
        <v>107</v>
      </c>
      <c r="AK11" s="6"/>
      <c r="AL11" s="6" t="s">
        <v>108</v>
      </c>
      <c r="AM11" s="8">
        <v>46156</v>
      </c>
      <c r="AN11" s="6" t="s">
        <v>179</v>
      </c>
      <c r="AO11" s="6" t="s">
        <v>180</v>
      </c>
      <c r="AP11" s="6" t="s">
        <v>9</v>
      </c>
    </row>
    <row r="12" spans="1:42" ht="27.6" hidden="1" customHeight="1">
      <c r="A12" s="10" t="s">
        <v>228</v>
      </c>
      <c r="B12" s="6" t="s">
        <v>15</v>
      </c>
      <c r="C12" s="6" t="s">
        <v>533</v>
      </c>
      <c r="D12" s="6" t="s">
        <v>530</v>
      </c>
      <c r="E12" s="4" t="s">
        <v>531</v>
      </c>
      <c r="F12" s="6" t="s">
        <v>494</v>
      </c>
      <c r="G12" s="6" t="s">
        <v>97</v>
      </c>
      <c r="H12" s="6" t="s">
        <v>121</v>
      </c>
      <c r="I12" s="15"/>
      <c r="J12" s="15">
        <v>1</v>
      </c>
      <c r="K12" s="15">
        <v>32</v>
      </c>
      <c r="L12" s="15">
        <v>32</v>
      </c>
      <c r="M12" s="6">
        <v>11</v>
      </c>
      <c r="N12" s="15" t="s">
        <v>33</v>
      </c>
      <c r="O12" s="15">
        <v>5</v>
      </c>
      <c r="P12" s="15">
        <v>4</v>
      </c>
      <c r="Q12" s="15">
        <v>20</v>
      </c>
      <c r="R12" s="15" t="s">
        <v>395</v>
      </c>
      <c r="S12" s="15">
        <v>8</v>
      </c>
      <c r="T12" s="6">
        <v>6</v>
      </c>
      <c r="U12" s="6" t="s">
        <v>101</v>
      </c>
      <c r="V12" s="6" t="s">
        <v>102</v>
      </c>
      <c r="W12" s="6" t="s">
        <v>200</v>
      </c>
      <c r="X12" s="6" t="s">
        <v>9</v>
      </c>
      <c r="Y12" s="6" t="s">
        <v>532</v>
      </c>
      <c r="Z12" s="6" t="s">
        <v>143</v>
      </c>
      <c r="AA12" s="6" t="s">
        <v>126</v>
      </c>
      <c r="AB12" s="6" t="s">
        <v>9</v>
      </c>
      <c r="AC12" s="6" t="s">
        <v>47</v>
      </c>
      <c r="AD12" s="6" t="s">
        <v>33</v>
      </c>
      <c r="AE12" s="7" t="s">
        <v>33</v>
      </c>
      <c r="AF12" s="6" t="s">
        <v>47</v>
      </c>
      <c r="AG12" s="6" t="s">
        <v>47</v>
      </c>
      <c r="AH12" s="6" t="s">
        <v>47</v>
      </c>
      <c r="AI12" s="6">
        <v>874</v>
      </c>
      <c r="AJ12" s="6" t="s">
        <v>107</v>
      </c>
      <c r="AK12" s="6"/>
      <c r="AL12" s="6" t="s">
        <v>227</v>
      </c>
      <c r="AM12" s="8">
        <v>46156</v>
      </c>
      <c r="AN12" s="6"/>
      <c r="AO12" s="6"/>
      <c r="AP12" s="6"/>
    </row>
    <row r="13" spans="1:42" ht="27.6" hidden="1" customHeight="1">
      <c r="A13" s="10" t="s">
        <v>262</v>
      </c>
      <c r="B13" s="6" t="s">
        <v>550</v>
      </c>
      <c r="C13" s="6" t="s">
        <v>268</v>
      </c>
      <c r="D13" s="6" t="s">
        <v>269</v>
      </c>
      <c r="E13" s="4" t="s">
        <v>270</v>
      </c>
      <c r="F13" s="6" t="s">
        <v>496</v>
      </c>
      <c r="G13" s="6" t="s">
        <v>97</v>
      </c>
      <c r="H13" s="6" t="s">
        <v>121</v>
      </c>
      <c r="I13" s="15" t="s">
        <v>271</v>
      </c>
      <c r="J13" s="15">
        <v>1</v>
      </c>
      <c r="K13" s="15">
        <v>32</v>
      </c>
      <c r="L13" s="15">
        <v>32</v>
      </c>
      <c r="M13" s="6">
        <v>10</v>
      </c>
      <c r="N13" s="15" t="s">
        <v>33</v>
      </c>
      <c r="O13" s="15">
        <v>6</v>
      </c>
      <c r="P13" s="15">
        <v>4</v>
      </c>
      <c r="Q13" s="15">
        <v>24</v>
      </c>
      <c r="R13" s="15" t="s">
        <v>100</v>
      </c>
      <c r="S13" s="15">
        <f>SkuCatalogTable[[#This Row],[width_cm]]/SkuCatalogTable[[#This Row],[rows]]</f>
        <v>8</v>
      </c>
      <c r="T13" s="6">
        <v>5</v>
      </c>
      <c r="U13" s="6" t="s">
        <v>272</v>
      </c>
      <c r="V13" s="6" t="s">
        <v>273</v>
      </c>
      <c r="W13" s="6" t="s">
        <v>103</v>
      </c>
      <c r="X13" s="6" t="s">
        <v>7</v>
      </c>
      <c r="Y13" s="6" t="s">
        <v>274</v>
      </c>
      <c r="Z13" s="6" t="s">
        <v>125</v>
      </c>
      <c r="AA13" s="6" t="s">
        <v>126</v>
      </c>
      <c r="AB13" s="6" t="s">
        <v>7</v>
      </c>
      <c r="AC13" s="6" t="s">
        <v>47</v>
      </c>
      <c r="AD13" s="6" t="s">
        <v>33</v>
      </c>
      <c r="AE13" s="7" t="s">
        <v>33</v>
      </c>
      <c r="AF13" s="6" t="s">
        <v>47</v>
      </c>
      <c r="AG13" s="6" t="s">
        <v>47</v>
      </c>
      <c r="AH13" s="6" t="s">
        <v>47</v>
      </c>
      <c r="AI13" s="6">
        <v>541</v>
      </c>
      <c r="AJ13" s="6" t="s">
        <v>107</v>
      </c>
      <c r="AK13" s="6"/>
      <c r="AL13" s="6" t="s">
        <v>227</v>
      </c>
      <c r="AM13" s="8">
        <v>46156</v>
      </c>
      <c r="AN13" s="6" t="s">
        <v>275</v>
      </c>
      <c r="AO13" s="6" t="s">
        <v>276</v>
      </c>
      <c r="AP13" s="6" t="s">
        <v>7</v>
      </c>
    </row>
    <row r="14" spans="1:42" ht="31.8" hidden="1" customHeight="1">
      <c r="A14" s="10" t="s">
        <v>264</v>
      </c>
      <c r="B14" s="6" t="s">
        <v>550</v>
      </c>
      <c r="C14" s="6" t="s">
        <v>268</v>
      </c>
      <c r="D14" s="6" t="s">
        <v>278</v>
      </c>
      <c r="E14" s="4" t="s">
        <v>279</v>
      </c>
      <c r="F14" s="6" t="s">
        <v>525</v>
      </c>
      <c r="G14" s="6" t="s">
        <v>97</v>
      </c>
      <c r="H14" s="6" t="s">
        <v>121</v>
      </c>
      <c r="I14" s="15" t="s">
        <v>113</v>
      </c>
      <c r="J14" s="15">
        <v>1</v>
      </c>
      <c r="K14" s="15">
        <v>32</v>
      </c>
      <c r="L14" s="15">
        <v>32</v>
      </c>
      <c r="M14" s="6">
        <v>10</v>
      </c>
      <c r="N14" s="15" t="s">
        <v>33</v>
      </c>
      <c r="O14" s="15">
        <v>6</v>
      </c>
      <c r="P14" s="15">
        <v>4</v>
      </c>
      <c r="Q14" s="15">
        <v>24</v>
      </c>
      <c r="R14" s="15" t="s">
        <v>100</v>
      </c>
      <c r="S14" s="15">
        <v>8</v>
      </c>
      <c r="T14" s="6">
        <v>5.3</v>
      </c>
      <c r="U14" s="6" t="s">
        <v>101</v>
      </c>
      <c r="V14" s="6" t="s">
        <v>102</v>
      </c>
      <c r="W14" s="6" t="s">
        <v>103</v>
      </c>
      <c r="X14" s="6" t="s">
        <v>7</v>
      </c>
      <c r="Y14" s="6" t="s">
        <v>274</v>
      </c>
      <c r="Z14" s="6" t="s">
        <v>125</v>
      </c>
      <c r="AA14" s="6" t="s">
        <v>126</v>
      </c>
      <c r="AB14" s="6" t="s">
        <v>7</v>
      </c>
      <c r="AC14" s="6" t="s">
        <v>47</v>
      </c>
      <c r="AD14" s="6" t="s">
        <v>33</v>
      </c>
      <c r="AE14" s="7" t="s">
        <v>33</v>
      </c>
      <c r="AF14" s="6" t="s">
        <v>47</v>
      </c>
      <c r="AG14" s="6" t="s">
        <v>47</v>
      </c>
      <c r="AH14" s="6" t="s">
        <v>47</v>
      </c>
      <c r="AI14" s="6"/>
      <c r="AJ14" s="6" t="s">
        <v>107</v>
      </c>
      <c r="AK14" s="6"/>
      <c r="AL14" s="6" t="s">
        <v>227</v>
      </c>
      <c r="AM14" s="8">
        <v>46156</v>
      </c>
      <c r="AN14" s="6" t="s">
        <v>280</v>
      </c>
      <c r="AO14" s="6" t="s">
        <v>281</v>
      </c>
      <c r="AP14" s="6" t="s">
        <v>9</v>
      </c>
    </row>
    <row r="15" spans="1:42" ht="37.200000000000003" hidden="1" customHeight="1">
      <c r="A15" t="s">
        <v>266</v>
      </c>
      <c r="B15" s="6" t="s">
        <v>550</v>
      </c>
      <c r="C15" s="6" t="s">
        <v>268</v>
      </c>
      <c r="D15" s="6" t="s">
        <v>283</v>
      </c>
      <c r="E15" s="4" t="s">
        <v>284</v>
      </c>
      <c r="F15" s="6" t="s">
        <v>549</v>
      </c>
      <c r="G15" s="6" t="s">
        <v>97</v>
      </c>
      <c r="H15" s="6" t="s">
        <v>121</v>
      </c>
      <c r="I15" s="15" t="s">
        <v>113</v>
      </c>
      <c r="J15" s="15">
        <v>1</v>
      </c>
      <c r="K15" s="15">
        <v>32</v>
      </c>
      <c r="L15" s="15">
        <v>32</v>
      </c>
      <c r="M15" s="6">
        <v>10</v>
      </c>
      <c r="N15" s="15" t="s">
        <v>33</v>
      </c>
      <c r="O15" s="15">
        <v>6</v>
      </c>
      <c r="P15" s="15">
        <v>4</v>
      </c>
      <c r="Q15" s="15">
        <v>24</v>
      </c>
      <c r="R15" s="15" t="s">
        <v>100</v>
      </c>
      <c r="S15" s="15">
        <v>8</v>
      </c>
      <c r="T15" s="6">
        <v>5.3</v>
      </c>
      <c r="U15" s="6" t="s">
        <v>285</v>
      </c>
      <c r="V15" s="6" t="s">
        <v>286</v>
      </c>
      <c r="W15" s="6" t="s">
        <v>221</v>
      </c>
      <c r="X15" s="6" t="s">
        <v>7</v>
      </c>
      <c r="Y15" s="6" t="s">
        <v>274</v>
      </c>
      <c r="Z15" s="6" t="s">
        <v>125</v>
      </c>
      <c r="AA15" s="6" t="s">
        <v>126</v>
      </c>
      <c r="AB15" s="6" t="s">
        <v>7</v>
      </c>
      <c r="AC15" s="6" t="s">
        <v>47</v>
      </c>
      <c r="AD15" s="6" t="s">
        <v>33</v>
      </c>
      <c r="AE15" s="7" t="s">
        <v>33</v>
      </c>
      <c r="AF15" s="6" t="s">
        <v>47</v>
      </c>
      <c r="AG15" s="6" t="s">
        <v>47</v>
      </c>
      <c r="AH15" s="6" t="s">
        <v>47</v>
      </c>
      <c r="AI15" s="6"/>
      <c r="AJ15" s="6" t="s">
        <v>107</v>
      </c>
      <c r="AK15" s="6"/>
      <c r="AL15" s="6" t="s">
        <v>227</v>
      </c>
      <c r="AM15" s="8">
        <v>46156</v>
      </c>
      <c r="AN15" s="6" t="s">
        <v>287</v>
      </c>
      <c r="AO15" s="6" t="s">
        <v>288</v>
      </c>
      <c r="AP15" s="6" t="s">
        <v>9</v>
      </c>
    </row>
    <row r="16" spans="1:42" ht="40.799999999999997" hidden="1" customHeight="1">
      <c r="A16" t="s">
        <v>282</v>
      </c>
      <c r="B16" s="6" t="s">
        <v>550</v>
      </c>
      <c r="C16" s="6" t="s">
        <v>268</v>
      </c>
      <c r="D16" s="6" t="s">
        <v>292</v>
      </c>
      <c r="E16" s="4" t="s">
        <v>293</v>
      </c>
      <c r="F16" s="6" t="s">
        <v>527</v>
      </c>
      <c r="G16" s="6" t="s">
        <v>97</v>
      </c>
      <c r="H16" s="6" t="s">
        <v>121</v>
      </c>
      <c r="I16" s="15" t="s">
        <v>295</v>
      </c>
      <c r="J16" s="15">
        <v>1</v>
      </c>
      <c r="K16" s="15">
        <v>32</v>
      </c>
      <c r="L16" s="15">
        <v>32</v>
      </c>
      <c r="M16" s="6">
        <v>10</v>
      </c>
      <c r="N16" s="15" t="s">
        <v>33</v>
      </c>
      <c r="O16" s="15">
        <v>4</v>
      </c>
      <c r="P16" s="15">
        <v>4</v>
      </c>
      <c r="Q16" s="15">
        <v>16</v>
      </c>
      <c r="R16" s="15" t="s">
        <v>100</v>
      </c>
      <c r="S16" s="15">
        <v>8</v>
      </c>
      <c r="T16" s="6">
        <v>8</v>
      </c>
      <c r="U16" s="6" t="s">
        <v>272</v>
      </c>
      <c r="V16" s="6" t="s">
        <v>273</v>
      </c>
      <c r="W16" s="6" t="s">
        <v>103</v>
      </c>
      <c r="X16" s="6" t="s">
        <v>7</v>
      </c>
      <c r="Y16" s="6" t="s">
        <v>274</v>
      </c>
      <c r="Z16" s="6" t="s">
        <v>125</v>
      </c>
      <c r="AA16" s="6" t="s">
        <v>126</v>
      </c>
      <c r="AB16" s="6" t="s">
        <v>7</v>
      </c>
      <c r="AC16" s="6" t="s">
        <v>47</v>
      </c>
      <c r="AD16" s="6" t="s">
        <v>33</v>
      </c>
      <c r="AE16" s="7" t="s">
        <v>33</v>
      </c>
      <c r="AF16" s="6" t="s">
        <v>47</v>
      </c>
      <c r="AG16" s="6" t="s">
        <v>47</v>
      </c>
      <c r="AH16" s="6" t="s">
        <v>47</v>
      </c>
      <c r="AI16" s="6"/>
      <c r="AJ16" s="6" t="s">
        <v>107</v>
      </c>
      <c r="AK16" s="6"/>
      <c r="AL16" s="6" t="s">
        <v>227</v>
      </c>
      <c r="AM16" s="8">
        <v>46156</v>
      </c>
      <c r="AN16" s="6" t="s">
        <v>296</v>
      </c>
      <c r="AO16" s="6" t="s">
        <v>297</v>
      </c>
      <c r="AP16" s="6" t="s">
        <v>9</v>
      </c>
    </row>
    <row r="17" spans="1:42" ht="27.6" customHeight="1">
      <c r="A17" s="10" t="s">
        <v>300</v>
      </c>
      <c r="B17" s="6" t="s">
        <v>536</v>
      </c>
      <c r="C17" s="6" t="s">
        <v>130</v>
      </c>
      <c r="D17" s="6" t="s">
        <v>565</v>
      </c>
      <c r="E17" s="4" t="s">
        <v>566</v>
      </c>
      <c r="F17" s="6" t="s">
        <v>575</v>
      </c>
      <c r="G17" s="6" t="s">
        <v>97</v>
      </c>
      <c r="H17" s="6" t="s">
        <v>132</v>
      </c>
      <c r="I17" s="15"/>
      <c r="J17" s="15">
        <v>1</v>
      </c>
      <c r="K17" s="15">
        <v>24</v>
      </c>
      <c r="L17" s="15">
        <v>35</v>
      </c>
      <c r="M17" s="6">
        <v>3</v>
      </c>
      <c r="N17" s="15" t="s">
        <v>33</v>
      </c>
      <c r="O17" s="15">
        <v>4</v>
      </c>
      <c r="P17" s="15">
        <v>3</v>
      </c>
      <c r="Q17" s="15">
        <v>12</v>
      </c>
      <c r="R17" s="15" t="s">
        <v>100</v>
      </c>
      <c r="S17" s="15">
        <f>SkuCatalogTable[[#This Row],[width_cm]]/SkuCatalogTable[[#This Row],[rows]]</f>
        <v>8</v>
      </c>
      <c r="T17" s="15">
        <f>SkuCatalogTable[[#This Row],[depth_cm]]/SkuCatalogTable[[#This Row],[cols]]</f>
        <v>8.75</v>
      </c>
      <c r="U17" s="6" t="s">
        <v>101</v>
      </c>
      <c r="V17" s="6" t="s">
        <v>102</v>
      </c>
      <c r="W17" s="6" t="s">
        <v>200</v>
      </c>
      <c r="X17" s="6" t="s">
        <v>9</v>
      </c>
      <c r="Y17" s="6" t="s">
        <v>567</v>
      </c>
      <c r="Z17" s="6" t="s">
        <v>143</v>
      </c>
      <c r="AA17" s="6" t="s">
        <v>150</v>
      </c>
      <c r="AB17" s="6" t="s">
        <v>9</v>
      </c>
      <c r="AC17" s="6" t="s">
        <v>47</v>
      </c>
      <c r="AD17" s="6" t="s">
        <v>33</v>
      </c>
      <c r="AE17" s="6" t="s">
        <v>47</v>
      </c>
      <c r="AF17" s="6" t="s">
        <v>47</v>
      </c>
      <c r="AG17" s="6" t="s">
        <v>47</v>
      </c>
      <c r="AH17" s="6" t="s">
        <v>47</v>
      </c>
      <c r="AI17" s="6">
        <v>370</v>
      </c>
      <c r="AJ17" s="6" t="s">
        <v>107</v>
      </c>
      <c r="AK17" s="6"/>
      <c r="AL17" s="6" t="s">
        <v>227</v>
      </c>
      <c r="AM17" s="8">
        <v>46157</v>
      </c>
      <c r="AN17" s="6"/>
      <c r="AO17" s="6"/>
      <c r="AP17" s="6"/>
    </row>
    <row r="18" spans="1:42" ht="27.6" customHeight="1">
      <c r="A18" s="10" t="s">
        <v>306</v>
      </c>
      <c r="B18" s="6" t="s">
        <v>536</v>
      </c>
      <c r="C18" s="6" t="s">
        <v>569</v>
      </c>
      <c r="D18" s="6" t="s">
        <v>570</v>
      </c>
      <c r="E18" s="4" t="s">
        <v>597</v>
      </c>
      <c r="F18" s="6" t="s">
        <v>571</v>
      </c>
      <c r="G18" s="6" t="s">
        <v>97</v>
      </c>
      <c r="H18" s="6" t="s">
        <v>132</v>
      </c>
      <c r="I18" s="15"/>
      <c r="J18" s="15">
        <v>1</v>
      </c>
      <c r="K18" s="15">
        <v>24</v>
      </c>
      <c r="L18" s="15">
        <v>35</v>
      </c>
      <c r="M18" s="6">
        <v>3</v>
      </c>
      <c r="N18" s="15" t="s">
        <v>33</v>
      </c>
      <c r="O18" s="15">
        <v>4</v>
      </c>
      <c r="P18" s="15">
        <v>3</v>
      </c>
      <c r="Q18" s="15">
        <v>12</v>
      </c>
      <c r="R18" s="15" t="s">
        <v>100</v>
      </c>
      <c r="S18" s="15">
        <f>SkuCatalogTable[[#This Row],[width_cm]]/SkuCatalogTable[[#This Row],[rows]]</f>
        <v>8</v>
      </c>
      <c r="T18" s="6">
        <f>SkuCatalogTable[[#This Row],[depth_cm]]/SkuCatalogTable[[#This Row],[cols]]</f>
        <v>8.75</v>
      </c>
      <c r="U18" s="6" t="s">
        <v>272</v>
      </c>
      <c r="V18" s="6" t="s">
        <v>273</v>
      </c>
      <c r="W18" s="6" t="s">
        <v>103</v>
      </c>
      <c r="X18" s="6" t="s">
        <v>9</v>
      </c>
      <c r="Y18" s="6" t="s">
        <v>572</v>
      </c>
      <c r="Z18" s="6" t="s">
        <v>143</v>
      </c>
      <c r="AA18" s="6" t="s">
        <v>150</v>
      </c>
      <c r="AB18" s="6" t="s">
        <v>9</v>
      </c>
      <c r="AC18" s="6" t="s">
        <v>47</v>
      </c>
      <c r="AD18" s="6" t="s">
        <v>33</v>
      </c>
      <c r="AE18" s="7" t="s">
        <v>47</v>
      </c>
      <c r="AF18" s="6" t="s">
        <v>47</v>
      </c>
      <c r="AG18" s="6" t="s">
        <v>47</v>
      </c>
      <c r="AH18" s="6" t="s">
        <v>47</v>
      </c>
      <c r="AI18" s="6">
        <v>1348</v>
      </c>
      <c r="AJ18" s="6" t="s">
        <v>107</v>
      </c>
      <c r="AK18" s="6"/>
      <c r="AL18" s="6" t="s">
        <v>227</v>
      </c>
      <c r="AM18" s="8">
        <v>46157</v>
      </c>
      <c r="AN18" s="6"/>
      <c r="AO18" s="6"/>
      <c r="AP18" s="6"/>
    </row>
    <row r="19" spans="1:42" ht="27.6" hidden="1" customHeight="1">
      <c r="A19" s="10" t="s">
        <v>308</v>
      </c>
      <c r="B19" s="6" t="s">
        <v>15</v>
      </c>
      <c r="C19" s="6" t="s">
        <v>313</v>
      </c>
      <c r="D19" s="6" t="s">
        <v>314</v>
      </c>
      <c r="E19" s="4" t="s">
        <v>315</v>
      </c>
      <c r="F19" s="6" t="s">
        <v>496</v>
      </c>
      <c r="G19" s="6" t="s">
        <v>97</v>
      </c>
      <c r="H19" s="6" t="s">
        <v>132</v>
      </c>
      <c r="I19" s="15" t="s">
        <v>113</v>
      </c>
      <c r="J19" s="15">
        <v>1</v>
      </c>
      <c r="K19" s="15">
        <v>32</v>
      </c>
      <c r="L19" s="15">
        <v>32</v>
      </c>
      <c r="M19" s="6">
        <v>10</v>
      </c>
      <c r="N19" s="15" t="s">
        <v>33</v>
      </c>
      <c r="O19" s="15">
        <v>6</v>
      </c>
      <c r="P19" s="15">
        <v>4</v>
      </c>
      <c r="Q19" s="15">
        <v>24</v>
      </c>
      <c r="R19" s="15" t="s">
        <v>100</v>
      </c>
      <c r="S19" s="15">
        <v>8</v>
      </c>
      <c r="T19" s="6">
        <v>5.3</v>
      </c>
      <c r="U19" s="6" t="s">
        <v>122</v>
      </c>
      <c r="V19" s="6" t="s">
        <v>123</v>
      </c>
      <c r="W19" s="6" t="s">
        <v>103</v>
      </c>
      <c r="X19" s="6" t="s">
        <v>7</v>
      </c>
      <c r="Y19" s="6" t="s">
        <v>316</v>
      </c>
      <c r="Z19" s="6" t="s">
        <v>317</v>
      </c>
      <c r="AA19" s="6" t="s">
        <v>318</v>
      </c>
      <c r="AB19" s="6" t="s">
        <v>7</v>
      </c>
      <c r="AC19" s="6" t="s">
        <v>47</v>
      </c>
      <c r="AD19" s="6" t="s">
        <v>33</v>
      </c>
      <c r="AE19" s="7" t="s">
        <v>108</v>
      </c>
      <c r="AF19" s="6" t="s">
        <v>47</v>
      </c>
      <c r="AG19" s="6" t="s">
        <v>47</v>
      </c>
      <c r="AH19" s="6" t="s">
        <v>47</v>
      </c>
      <c r="AI19" s="6">
        <v>640</v>
      </c>
      <c r="AJ19" s="6" t="s">
        <v>107</v>
      </c>
      <c r="AK19" s="6"/>
      <c r="AL19" s="6" t="s">
        <v>227</v>
      </c>
      <c r="AM19" s="8">
        <v>46156</v>
      </c>
      <c r="AN19" s="6" t="s">
        <v>319</v>
      </c>
      <c r="AO19" s="6" t="s">
        <v>320</v>
      </c>
      <c r="AP19" s="6" t="s">
        <v>9</v>
      </c>
    </row>
    <row r="20" spans="1:42" ht="27.6" hidden="1" customHeight="1">
      <c r="A20" s="10" t="s">
        <v>309</v>
      </c>
      <c r="B20" s="6" t="s">
        <v>15</v>
      </c>
      <c r="C20" s="6" t="s">
        <v>154</v>
      </c>
      <c r="D20" s="6" t="s">
        <v>322</v>
      </c>
      <c r="E20" s="4" t="s">
        <v>323</v>
      </c>
      <c r="F20" s="6" t="s">
        <v>525</v>
      </c>
      <c r="G20" s="6" t="s">
        <v>97</v>
      </c>
      <c r="H20" s="6" t="s">
        <v>98</v>
      </c>
      <c r="I20" s="15" t="s">
        <v>324</v>
      </c>
      <c r="J20" s="15">
        <v>1</v>
      </c>
      <c r="K20" s="15">
        <v>32</v>
      </c>
      <c r="L20" s="15">
        <v>32</v>
      </c>
      <c r="M20" s="6">
        <v>10</v>
      </c>
      <c r="N20" s="15" t="s">
        <v>33</v>
      </c>
      <c r="O20" s="15">
        <v>6</v>
      </c>
      <c r="P20" s="15">
        <v>4</v>
      </c>
      <c r="Q20" s="15">
        <v>24</v>
      </c>
      <c r="R20" s="15" t="s">
        <v>100</v>
      </c>
      <c r="S20" s="15">
        <v>8</v>
      </c>
      <c r="T20" s="6">
        <v>5.3</v>
      </c>
      <c r="U20" s="6" t="s">
        <v>101</v>
      </c>
      <c r="V20" s="6" t="s">
        <v>102</v>
      </c>
      <c r="W20" s="6" t="s">
        <v>103</v>
      </c>
      <c r="X20" s="6" t="s">
        <v>7</v>
      </c>
      <c r="Y20" s="6" t="s">
        <v>325</v>
      </c>
      <c r="Z20" s="6" t="s">
        <v>105</v>
      </c>
      <c r="AA20" s="6" t="s">
        <v>106</v>
      </c>
      <c r="AB20" s="6" t="s">
        <v>7</v>
      </c>
      <c r="AC20" s="6" t="s">
        <v>47</v>
      </c>
      <c r="AD20" s="6" t="s">
        <v>33</v>
      </c>
      <c r="AE20" s="7" t="s">
        <v>33</v>
      </c>
      <c r="AF20" s="6" t="s">
        <v>47</v>
      </c>
      <c r="AG20" s="6" t="s">
        <v>47</v>
      </c>
      <c r="AH20" s="6" t="s">
        <v>47</v>
      </c>
      <c r="AI20" s="6">
        <v>479</v>
      </c>
      <c r="AJ20" s="6" t="s">
        <v>107</v>
      </c>
      <c r="AK20" s="6"/>
      <c r="AL20" s="6" t="s">
        <v>227</v>
      </c>
      <c r="AM20" s="8">
        <v>46156</v>
      </c>
      <c r="AN20" s="6" t="s">
        <v>326</v>
      </c>
      <c r="AO20" s="6" t="s">
        <v>327</v>
      </c>
      <c r="AP20" s="6" t="s">
        <v>9</v>
      </c>
    </row>
    <row r="21" spans="1:42" ht="27.6" hidden="1" customHeight="1">
      <c r="A21" s="10" t="s">
        <v>311</v>
      </c>
      <c r="B21" s="6" t="s">
        <v>15</v>
      </c>
      <c r="C21" s="6" t="s">
        <v>92</v>
      </c>
      <c r="D21" s="6" t="s">
        <v>329</v>
      </c>
      <c r="E21" s="6" t="s">
        <v>330</v>
      </c>
      <c r="F21" s="6" t="s">
        <v>525</v>
      </c>
      <c r="G21" s="6" t="s">
        <v>97</v>
      </c>
      <c r="H21" s="6" t="s">
        <v>98</v>
      </c>
      <c r="I21" s="15" t="s">
        <v>324</v>
      </c>
      <c r="J21" s="15">
        <v>1</v>
      </c>
      <c r="K21" s="15">
        <v>32</v>
      </c>
      <c r="L21" s="15">
        <v>32</v>
      </c>
      <c r="M21" s="6">
        <v>10</v>
      </c>
      <c r="N21" s="15" t="s">
        <v>33</v>
      </c>
      <c r="O21" s="15">
        <v>6</v>
      </c>
      <c r="P21" s="15">
        <v>4</v>
      </c>
      <c r="Q21" s="15">
        <v>24</v>
      </c>
      <c r="R21" s="15" t="s">
        <v>100</v>
      </c>
      <c r="S21" s="15">
        <v>8</v>
      </c>
      <c r="T21" s="6">
        <v>5.3</v>
      </c>
      <c r="U21" s="6" t="s">
        <v>101</v>
      </c>
      <c r="V21" s="6" t="s">
        <v>102</v>
      </c>
      <c r="W21" s="6" t="s">
        <v>103</v>
      </c>
      <c r="X21" s="6" t="s">
        <v>7</v>
      </c>
      <c r="Y21" s="6" t="s">
        <v>331</v>
      </c>
      <c r="Z21" s="6" t="s">
        <v>105</v>
      </c>
      <c r="AA21" s="6" t="s">
        <v>150</v>
      </c>
      <c r="AB21" s="6" t="s">
        <v>7</v>
      </c>
      <c r="AC21" s="6" t="s">
        <v>47</v>
      </c>
      <c r="AD21" s="6" t="s">
        <v>33</v>
      </c>
      <c r="AE21" s="7" t="s">
        <v>33</v>
      </c>
      <c r="AF21" s="6" t="s">
        <v>47</v>
      </c>
      <c r="AG21" s="6" t="s">
        <v>47</v>
      </c>
      <c r="AH21" s="6" t="s">
        <v>47</v>
      </c>
      <c r="AI21" s="6"/>
      <c r="AJ21" s="6" t="s">
        <v>107</v>
      </c>
      <c r="AK21" s="6"/>
      <c r="AL21" s="6" t="s">
        <v>227</v>
      </c>
      <c r="AM21" s="8">
        <v>46156</v>
      </c>
      <c r="AN21" s="6" t="s">
        <v>332</v>
      </c>
      <c r="AO21" s="6" t="s">
        <v>333</v>
      </c>
      <c r="AP21" s="6" t="s">
        <v>9</v>
      </c>
    </row>
    <row r="22" spans="1:42" ht="27.6" hidden="1" customHeight="1">
      <c r="A22" s="10" t="s">
        <v>312</v>
      </c>
      <c r="B22" s="6" t="s">
        <v>15</v>
      </c>
      <c r="C22" s="6" t="s">
        <v>92</v>
      </c>
      <c r="D22" s="6" t="s">
        <v>335</v>
      </c>
      <c r="E22" s="6" t="s">
        <v>336</v>
      </c>
      <c r="F22" s="6" t="s">
        <v>528</v>
      </c>
      <c r="G22" s="6" t="s">
        <v>97</v>
      </c>
      <c r="H22" s="6" t="s">
        <v>98</v>
      </c>
      <c r="I22" s="15" t="s">
        <v>324</v>
      </c>
      <c r="J22" s="15">
        <v>1</v>
      </c>
      <c r="K22" s="15">
        <v>32</v>
      </c>
      <c r="L22" s="15">
        <v>32</v>
      </c>
      <c r="M22" s="6">
        <v>10</v>
      </c>
      <c r="N22" s="15" t="s">
        <v>33</v>
      </c>
      <c r="O22" s="15">
        <v>6</v>
      </c>
      <c r="P22" s="15">
        <v>4</v>
      </c>
      <c r="Q22" s="15">
        <v>24</v>
      </c>
      <c r="R22" s="15" t="s">
        <v>100</v>
      </c>
      <c r="S22" s="15">
        <v>8</v>
      </c>
      <c r="T22" s="6">
        <v>5.3</v>
      </c>
      <c r="U22" s="6" t="s">
        <v>337</v>
      </c>
      <c r="V22" s="6" t="s">
        <v>338</v>
      </c>
      <c r="W22" s="6" t="s">
        <v>200</v>
      </c>
      <c r="X22" s="6" t="s">
        <v>7</v>
      </c>
      <c r="Y22" s="6" t="s">
        <v>331</v>
      </c>
      <c r="Z22" s="6" t="s">
        <v>105</v>
      </c>
      <c r="AA22" s="6" t="s">
        <v>150</v>
      </c>
      <c r="AB22" s="6" t="s">
        <v>7</v>
      </c>
      <c r="AC22" s="6" t="s">
        <v>47</v>
      </c>
      <c r="AD22" s="6" t="s">
        <v>33</v>
      </c>
      <c r="AE22" s="7" t="s">
        <v>33</v>
      </c>
      <c r="AF22" s="6" t="s">
        <v>47</v>
      </c>
      <c r="AG22" s="6" t="s">
        <v>47</v>
      </c>
      <c r="AH22" s="6" t="s">
        <v>47</v>
      </c>
      <c r="AI22" s="6"/>
      <c r="AJ22" s="6" t="s">
        <v>107</v>
      </c>
      <c r="AK22" s="6"/>
      <c r="AL22" s="6" t="s">
        <v>227</v>
      </c>
      <c r="AM22" s="8">
        <v>46156</v>
      </c>
      <c r="AN22" s="6" t="s">
        <v>339</v>
      </c>
      <c r="AO22" s="6" t="s">
        <v>340</v>
      </c>
      <c r="AP22" s="6" t="s">
        <v>9</v>
      </c>
    </row>
    <row r="23" spans="1:42" ht="27.6" customHeight="1">
      <c r="A23" s="10" t="s">
        <v>341</v>
      </c>
      <c r="B23" s="6" t="s">
        <v>536</v>
      </c>
      <c r="C23" s="6" t="s">
        <v>399</v>
      </c>
      <c r="D23" s="6" t="s">
        <v>400</v>
      </c>
      <c r="E23" s="14" t="s">
        <v>401</v>
      </c>
      <c r="F23" s="6" t="s">
        <v>514</v>
      </c>
      <c r="G23" s="6" t="s">
        <v>97</v>
      </c>
      <c r="H23" s="6" t="s">
        <v>132</v>
      </c>
      <c r="I23" s="6" t="s">
        <v>403</v>
      </c>
      <c r="J23" s="6"/>
      <c r="K23" s="6">
        <v>27.2</v>
      </c>
      <c r="L23" s="6">
        <v>19.600000000000001</v>
      </c>
      <c r="M23" s="6">
        <v>4.2</v>
      </c>
      <c r="N23" s="6" t="s">
        <v>33</v>
      </c>
      <c r="O23" s="6">
        <v>3</v>
      </c>
      <c r="P23" s="6">
        <v>4</v>
      </c>
      <c r="Q23" s="6">
        <v>12</v>
      </c>
      <c r="R23" s="6" t="s">
        <v>395</v>
      </c>
      <c r="S23" s="6">
        <v>8</v>
      </c>
      <c r="T23" s="6">
        <v>4</v>
      </c>
      <c r="U23" s="6" t="s">
        <v>198</v>
      </c>
      <c r="V23" s="6" t="s">
        <v>199</v>
      </c>
      <c r="W23" s="6" t="s">
        <v>200</v>
      </c>
      <c r="X23" s="6" t="s">
        <v>9</v>
      </c>
      <c r="Y23" s="6" t="s">
        <v>404</v>
      </c>
      <c r="Z23" s="6" t="s">
        <v>405</v>
      </c>
      <c r="AA23" s="6" t="s">
        <v>406</v>
      </c>
      <c r="AB23" s="6" t="s">
        <v>7</v>
      </c>
      <c r="AC23" s="6" t="s">
        <v>47</v>
      </c>
      <c r="AD23" s="6" t="s">
        <v>33</v>
      </c>
      <c r="AE23" s="6" t="s">
        <v>47</v>
      </c>
      <c r="AF23" s="6" t="s">
        <v>47</v>
      </c>
      <c r="AG23" s="6" t="s">
        <v>47</v>
      </c>
      <c r="AH23" s="8" t="s">
        <v>47</v>
      </c>
      <c r="AI23" s="6">
        <v>762</v>
      </c>
      <c r="AJ23" s="6" t="s">
        <v>107</v>
      </c>
      <c r="AK23" s="6"/>
      <c r="AL23" s="6" t="s">
        <v>227</v>
      </c>
      <c r="AM23" s="8">
        <v>46156</v>
      </c>
      <c r="AN23" s="6" t="s">
        <v>407</v>
      </c>
      <c r="AO23" s="6"/>
      <c r="AP23" s="6" t="s">
        <v>9</v>
      </c>
    </row>
    <row r="24" spans="1:42" ht="27.6" hidden="1" customHeight="1">
      <c r="A24" s="10" t="s">
        <v>239</v>
      </c>
      <c r="B24" s="6" t="s">
        <v>11</v>
      </c>
      <c r="C24" s="6" t="s">
        <v>251</v>
      </c>
      <c r="D24" s="6" t="s">
        <v>252</v>
      </c>
      <c r="E24" s="4" t="s">
        <v>253</v>
      </c>
      <c r="F24" s="6" t="s">
        <v>521</v>
      </c>
      <c r="G24" s="6" t="s">
        <v>97</v>
      </c>
      <c r="H24" s="6" t="s">
        <v>132</v>
      </c>
      <c r="I24" s="15" t="s">
        <v>255</v>
      </c>
      <c r="J24" s="15">
        <v>1</v>
      </c>
      <c r="K24" s="15">
        <v>32.299999999999997</v>
      </c>
      <c r="L24" s="15">
        <v>43.2</v>
      </c>
      <c r="M24" s="6">
        <v>5</v>
      </c>
      <c r="N24" s="15" t="s">
        <v>33</v>
      </c>
      <c r="O24" s="15">
        <v>4</v>
      </c>
      <c r="P24" s="15">
        <v>3</v>
      </c>
      <c r="Q24" s="15">
        <v>12</v>
      </c>
      <c r="R24" s="15" t="s">
        <v>100</v>
      </c>
      <c r="S24" s="15">
        <v>10</v>
      </c>
      <c r="T24" s="6">
        <v>10</v>
      </c>
      <c r="U24" s="6" t="s">
        <v>256</v>
      </c>
      <c r="V24" s="6" t="s">
        <v>257</v>
      </c>
      <c r="W24" s="6" t="s">
        <v>221</v>
      </c>
      <c r="X24" s="6" t="s">
        <v>9</v>
      </c>
      <c r="Y24" s="6" t="s">
        <v>258</v>
      </c>
      <c r="Z24" s="6" t="s">
        <v>259</v>
      </c>
      <c r="AA24" s="6" t="s">
        <v>259</v>
      </c>
      <c r="AB24" s="6" t="s">
        <v>7</v>
      </c>
      <c r="AC24" s="6" t="s">
        <v>47</v>
      </c>
      <c r="AD24" s="6" t="s">
        <v>33</v>
      </c>
      <c r="AE24" s="7" t="s">
        <v>47</v>
      </c>
      <c r="AF24" s="6" t="s">
        <v>47</v>
      </c>
      <c r="AG24" s="6" t="s">
        <v>47</v>
      </c>
      <c r="AH24" s="6" t="s">
        <v>47</v>
      </c>
      <c r="AI24" s="6">
        <v>14699</v>
      </c>
      <c r="AJ24" s="6" t="s">
        <v>107</v>
      </c>
      <c r="AK24" s="6"/>
      <c r="AL24" s="6" t="s">
        <v>227</v>
      </c>
      <c r="AM24" s="8">
        <v>46156</v>
      </c>
      <c r="AN24" s="6" t="s">
        <v>260</v>
      </c>
      <c r="AO24" s="6" t="s">
        <v>261</v>
      </c>
      <c r="AP24" s="6" t="s">
        <v>7</v>
      </c>
    </row>
    <row r="25" spans="1:42" ht="27.6" customHeight="1">
      <c r="A25" s="10" t="s">
        <v>291</v>
      </c>
      <c r="B25" s="6" t="s">
        <v>536</v>
      </c>
      <c r="C25" s="6" t="s">
        <v>393</v>
      </c>
      <c r="D25" s="6" t="s">
        <v>563</v>
      </c>
      <c r="E25" s="4" t="s">
        <v>598</v>
      </c>
      <c r="F25" s="6" t="s">
        <v>564</v>
      </c>
      <c r="G25" s="6" t="s">
        <v>97</v>
      </c>
      <c r="H25" s="6" t="s">
        <v>121</v>
      </c>
      <c r="I25" s="15"/>
      <c r="J25" s="15">
        <v>1</v>
      </c>
      <c r="K25" s="15">
        <v>30</v>
      </c>
      <c r="L25" s="15">
        <v>30</v>
      </c>
      <c r="M25" s="6">
        <v>11</v>
      </c>
      <c r="N25" s="15" t="s">
        <v>33</v>
      </c>
      <c r="O25" s="15">
        <v>5</v>
      </c>
      <c r="P25" s="15">
        <v>3</v>
      </c>
      <c r="Q25" s="15">
        <v>15</v>
      </c>
      <c r="R25" s="15" t="s">
        <v>395</v>
      </c>
      <c r="S25" s="15">
        <v>10</v>
      </c>
      <c r="T25" s="6">
        <v>5</v>
      </c>
      <c r="U25" s="6" t="s">
        <v>101</v>
      </c>
      <c r="V25" s="6" t="s">
        <v>102</v>
      </c>
      <c r="W25" s="6" t="s">
        <v>200</v>
      </c>
      <c r="X25" s="6" t="s">
        <v>9</v>
      </c>
      <c r="Y25" s="6" t="s">
        <v>396</v>
      </c>
      <c r="Z25" s="6" t="s">
        <v>105</v>
      </c>
      <c r="AA25" s="6" t="s">
        <v>150</v>
      </c>
      <c r="AB25" s="6" t="s">
        <v>7</v>
      </c>
      <c r="AC25" s="6" t="s">
        <v>47</v>
      </c>
      <c r="AD25" s="6" t="s">
        <v>33</v>
      </c>
      <c r="AE25" s="6" t="s">
        <v>47</v>
      </c>
      <c r="AF25" s="6" t="s">
        <v>47</v>
      </c>
      <c r="AG25" s="6" t="s">
        <v>47</v>
      </c>
      <c r="AH25" s="6" t="s">
        <v>47</v>
      </c>
      <c r="AI25" s="6">
        <v>569</v>
      </c>
      <c r="AJ25" s="6" t="s">
        <v>107</v>
      </c>
      <c r="AK25" s="6"/>
      <c r="AL25" s="6" t="s">
        <v>227</v>
      </c>
      <c r="AM25" s="6" t="s">
        <v>109</v>
      </c>
      <c r="AN25" s="6" t="s">
        <v>110</v>
      </c>
      <c r="AO25" s="6"/>
      <c r="AP25" s="6"/>
    </row>
    <row r="26" spans="1:42" ht="27.6" customHeight="1">
      <c r="A26" s="10" t="s">
        <v>328</v>
      </c>
      <c r="B26" s="6" t="s">
        <v>536</v>
      </c>
      <c r="C26" s="6" t="s">
        <v>393</v>
      </c>
      <c r="D26" s="6" t="s">
        <v>394</v>
      </c>
      <c r="E26" s="4" t="s">
        <v>600</v>
      </c>
      <c r="F26" s="6" t="s">
        <v>562</v>
      </c>
      <c r="G26" s="6" t="s">
        <v>97</v>
      </c>
      <c r="H26" s="6" t="s">
        <v>121</v>
      </c>
      <c r="I26" s="6" t="s">
        <v>99</v>
      </c>
      <c r="J26" s="6"/>
      <c r="K26" s="6">
        <v>30</v>
      </c>
      <c r="L26" s="6">
        <v>30</v>
      </c>
      <c r="M26" s="6">
        <v>11</v>
      </c>
      <c r="N26" s="6" t="s">
        <v>33</v>
      </c>
      <c r="O26" s="6">
        <v>5</v>
      </c>
      <c r="P26" s="6">
        <v>3</v>
      </c>
      <c r="Q26" s="6">
        <v>15</v>
      </c>
      <c r="R26" s="6" t="s">
        <v>395</v>
      </c>
      <c r="S26" s="6">
        <v>10</v>
      </c>
      <c r="T26" s="6">
        <v>5</v>
      </c>
      <c r="U26" s="6" t="s">
        <v>272</v>
      </c>
      <c r="V26" s="6" t="s">
        <v>273</v>
      </c>
      <c r="W26" s="6" t="s">
        <v>103</v>
      </c>
      <c r="X26" s="6" t="s">
        <v>9</v>
      </c>
      <c r="Y26" s="6" t="s">
        <v>396</v>
      </c>
      <c r="Z26" s="6" t="s">
        <v>105</v>
      </c>
      <c r="AA26" s="6" t="s">
        <v>150</v>
      </c>
      <c r="AB26" s="6" t="s">
        <v>7</v>
      </c>
      <c r="AC26" s="6" t="s">
        <v>47</v>
      </c>
      <c r="AD26" s="6" t="s">
        <v>33</v>
      </c>
      <c r="AE26" s="6" t="s">
        <v>108</v>
      </c>
      <c r="AF26" s="6" t="s">
        <v>47</v>
      </c>
      <c r="AG26" s="6" t="s">
        <v>47</v>
      </c>
      <c r="AH26" s="6" t="s">
        <v>47</v>
      </c>
      <c r="AI26" s="6">
        <v>498</v>
      </c>
      <c r="AJ26" s="6" t="s">
        <v>107</v>
      </c>
      <c r="AK26" s="6"/>
      <c r="AL26" s="6" t="s">
        <v>227</v>
      </c>
      <c r="AM26" s="6" t="s">
        <v>109</v>
      </c>
      <c r="AN26" s="6" t="s">
        <v>110</v>
      </c>
      <c r="AO26" s="6"/>
      <c r="AP26" s="6" t="s">
        <v>7</v>
      </c>
    </row>
    <row r="27" spans="1:42" ht="27.6" hidden="1" customHeight="1">
      <c r="A27" s="10" t="s">
        <v>321</v>
      </c>
      <c r="B27" s="6" t="s">
        <v>15</v>
      </c>
      <c r="C27" s="6" t="s">
        <v>342</v>
      </c>
      <c r="D27" s="6" t="s">
        <v>343</v>
      </c>
      <c r="E27" s="4" t="s">
        <v>344</v>
      </c>
      <c r="F27" s="6" t="s">
        <v>504</v>
      </c>
      <c r="G27" s="6" t="s">
        <v>97</v>
      </c>
      <c r="H27" s="6" t="s">
        <v>98</v>
      </c>
      <c r="I27" s="15" t="s">
        <v>345</v>
      </c>
      <c r="J27" s="15">
        <v>1</v>
      </c>
      <c r="K27" s="15">
        <v>32</v>
      </c>
      <c r="L27" s="15">
        <v>32</v>
      </c>
      <c r="M27" s="6">
        <v>12</v>
      </c>
      <c r="N27" s="15" t="s">
        <v>33</v>
      </c>
      <c r="O27" s="15">
        <v>4</v>
      </c>
      <c r="P27" s="15">
        <v>3</v>
      </c>
      <c r="Q27" s="15">
        <v>12</v>
      </c>
      <c r="R27" s="15" t="s">
        <v>100</v>
      </c>
      <c r="S27" s="15">
        <v>10.7</v>
      </c>
      <c r="T27" s="6">
        <v>8</v>
      </c>
      <c r="U27" s="6" t="s">
        <v>101</v>
      </c>
      <c r="V27" s="6" t="s">
        <v>102</v>
      </c>
      <c r="W27" s="6" t="s">
        <v>103</v>
      </c>
      <c r="X27" s="6" t="s">
        <v>7</v>
      </c>
      <c r="Y27" s="6" t="s">
        <v>142</v>
      </c>
      <c r="Z27" s="6" t="s">
        <v>143</v>
      </c>
      <c r="AA27" s="6" t="s">
        <v>106</v>
      </c>
      <c r="AB27" s="6" t="s">
        <v>9</v>
      </c>
      <c r="AC27" s="6" t="s">
        <v>47</v>
      </c>
      <c r="AD27" s="6" t="s">
        <v>33</v>
      </c>
      <c r="AE27" s="7" t="s">
        <v>33</v>
      </c>
      <c r="AF27" s="6" t="s">
        <v>47</v>
      </c>
      <c r="AG27" s="6" t="s">
        <v>47</v>
      </c>
      <c r="AH27" s="6" t="s">
        <v>47</v>
      </c>
      <c r="AI27" s="6"/>
      <c r="AJ27" s="6" t="s">
        <v>107</v>
      </c>
      <c r="AK27" s="6"/>
      <c r="AL27" s="6" t="s">
        <v>227</v>
      </c>
      <c r="AM27" s="8">
        <v>46156</v>
      </c>
      <c r="AN27" s="6" t="s">
        <v>346</v>
      </c>
      <c r="AO27" s="6" t="s">
        <v>347</v>
      </c>
      <c r="AP27" s="6" t="s">
        <v>9</v>
      </c>
    </row>
    <row r="28" spans="1:42" ht="27.6" customHeight="1">
      <c r="A28" s="10" t="s">
        <v>246</v>
      </c>
      <c r="B28" s="6" t="s">
        <v>536</v>
      </c>
      <c r="C28" s="6" t="s">
        <v>537</v>
      </c>
      <c r="D28" s="6" t="s">
        <v>538</v>
      </c>
      <c r="E28" s="4" t="s">
        <v>599</v>
      </c>
      <c r="F28" s="6" t="s">
        <v>539</v>
      </c>
      <c r="G28" s="6" t="s">
        <v>140</v>
      </c>
      <c r="H28" s="6" t="s">
        <v>98</v>
      </c>
      <c r="I28" s="15"/>
      <c r="J28" s="15">
        <v>2</v>
      </c>
      <c r="K28" s="15">
        <v>11</v>
      </c>
      <c r="L28" s="15">
        <v>32</v>
      </c>
      <c r="M28" s="6">
        <v>12</v>
      </c>
      <c r="N28" s="15" t="s">
        <v>33</v>
      </c>
      <c r="O28" s="15">
        <v>7</v>
      </c>
      <c r="P28" s="15">
        <v>1</v>
      </c>
      <c r="Q28" s="15">
        <v>7</v>
      </c>
      <c r="R28" s="15" t="s">
        <v>100</v>
      </c>
      <c r="S28" s="15">
        <v>11</v>
      </c>
      <c r="T28" s="6">
        <v>4.5</v>
      </c>
      <c r="U28" s="6" t="s">
        <v>101</v>
      </c>
      <c r="V28" s="6" t="s">
        <v>102</v>
      </c>
      <c r="W28" s="6" t="s">
        <v>210</v>
      </c>
      <c r="X28" s="6" t="s">
        <v>9</v>
      </c>
      <c r="Y28" s="6" t="s">
        <v>532</v>
      </c>
      <c r="Z28" s="6" t="s">
        <v>143</v>
      </c>
      <c r="AA28" s="6" t="s">
        <v>106</v>
      </c>
      <c r="AB28" s="6" t="s">
        <v>7</v>
      </c>
      <c r="AC28" s="6" t="s">
        <v>47</v>
      </c>
      <c r="AD28" s="6" t="s">
        <v>33</v>
      </c>
      <c r="AE28" s="7" t="s">
        <v>33</v>
      </c>
      <c r="AF28" s="6" t="s">
        <v>47</v>
      </c>
      <c r="AG28" s="6" t="s">
        <v>47</v>
      </c>
      <c r="AH28" s="6" t="s">
        <v>47</v>
      </c>
      <c r="AI28" s="6">
        <v>279</v>
      </c>
      <c r="AJ28" s="6" t="s">
        <v>107</v>
      </c>
      <c r="AK28" s="6"/>
      <c r="AL28" s="6" t="s">
        <v>227</v>
      </c>
      <c r="AM28" s="8">
        <v>46156</v>
      </c>
      <c r="AN28" s="6"/>
      <c r="AO28" s="6"/>
      <c r="AP28" s="6"/>
    </row>
    <row r="29" spans="1:42" ht="27.6" customHeight="1">
      <c r="A29" s="10" t="s">
        <v>181</v>
      </c>
      <c r="B29" s="6" t="s">
        <v>536</v>
      </c>
      <c r="C29" s="6" t="s">
        <v>501</v>
      </c>
      <c r="D29" s="6" t="s">
        <v>505</v>
      </c>
      <c r="E29" s="4" t="s">
        <v>183</v>
      </c>
      <c r="F29" s="6" t="s">
        <v>502</v>
      </c>
      <c r="G29" s="6" t="s">
        <v>140</v>
      </c>
      <c r="H29" s="6" t="s">
        <v>98</v>
      </c>
      <c r="I29" s="15" t="s">
        <v>184</v>
      </c>
      <c r="J29" s="15">
        <v>1</v>
      </c>
      <c r="K29" s="15">
        <v>12</v>
      </c>
      <c r="L29" s="15">
        <v>32</v>
      </c>
      <c r="M29" s="6">
        <v>12</v>
      </c>
      <c r="N29" s="15" t="s">
        <v>33</v>
      </c>
      <c r="O29" s="15">
        <v>7</v>
      </c>
      <c r="P29" s="15">
        <v>1</v>
      </c>
      <c r="Q29" s="15">
        <v>7</v>
      </c>
      <c r="R29" s="15" t="s">
        <v>100</v>
      </c>
      <c r="S29" s="15">
        <v>12</v>
      </c>
      <c r="T29" s="15">
        <v>4.5</v>
      </c>
      <c r="U29" s="6" t="s">
        <v>101</v>
      </c>
      <c r="V29" s="6" t="s">
        <v>102</v>
      </c>
      <c r="W29" s="6" t="s">
        <v>103</v>
      </c>
      <c r="X29" s="6" t="s">
        <v>7</v>
      </c>
      <c r="Y29" s="6" t="s">
        <v>142</v>
      </c>
      <c r="Z29" s="6" t="s">
        <v>143</v>
      </c>
      <c r="AA29" s="6" t="s">
        <v>106</v>
      </c>
      <c r="AB29" s="6" t="s">
        <v>9</v>
      </c>
      <c r="AC29" s="6" t="s">
        <v>47</v>
      </c>
      <c r="AD29" s="6" t="s">
        <v>33</v>
      </c>
      <c r="AE29" s="7" t="s">
        <v>33</v>
      </c>
      <c r="AF29" s="6" t="s">
        <v>47</v>
      </c>
      <c r="AG29" s="6" t="s">
        <v>47</v>
      </c>
      <c r="AH29" s="6" t="s">
        <v>47</v>
      </c>
      <c r="AI29" s="6">
        <v>198</v>
      </c>
      <c r="AJ29" s="6" t="s">
        <v>107</v>
      </c>
      <c r="AK29" s="6"/>
      <c r="AL29" s="6" t="s">
        <v>108</v>
      </c>
      <c r="AM29" s="8">
        <v>46156</v>
      </c>
      <c r="AN29" s="6" t="s">
        <v>185</v>
      </c>
      <c r="AO29" s="6" t="s">
        <v>186</v>
      </c>
      <c r="AP29" s="6" t="s">
        <v>9</v>
      </c>
    </row>
    <row r="30" spans="1:42" ht="27.6" hidden="1" customHeight="1">
      <c r="A30" s="10" t="s">
        <v>225</v>
      </c>
      <c r="B30" s="6" t="s">
        <v>15</v>
      </c>
      <c r="C30" s="6" t="s">
        <v>497</v>
      </c>
      <c r="D30" s="6" t="s">
        <v>522</v>
      </c>
      <c r="E30" s="4" t="s">
        <v>523</v>
      </c>
      <c r="F30" s="6" t="s">
        <v>526</v>
      </c>
      <c r="G30" s="6" t="s">
        <v>140</v>
      </c>
      <c r="H30" s="6" t="s">
        <v>132</v>
      </c>
      <c r="I30" s="15"/>
      <c r="J30" s="15"/>
      <c r="K30" s="15">
        <v>12.8</v>
      </c>
      <c r="L30" s="15">
        <v>26.6</v>
      </c>
      <c r="M30" s="6">
        <v>8</v>
      </c>
      <c r="N30" s="15" t="s">
        <v>33</v>
      </c>
      <c r="O30" s="15">
        <v>4</v>
      </c>
      <c r="P30" s="15">
        <v>1</v>
      </c>
      <c r="Q30" s="15">
        <v>4</v>
      </c>
      <c r="R30" s="15" t="s">
        <v>395</v>
      </c>
      <c r="S30" s="15">
        <v>12</v>
      </c>
      <c r="T30" s="6">
        <v>6.5</v>
      </c>
      <c r="U30" s="6" t="s">
        <v>122</v>
      </c>
      <c r="V30" s="6" t="s">
        <v>123</v>
      </c>
      <c r="W30" s="6" t="s">
        <v>103</v>
      </c>
      <c r="X30" s="6" t="s">
        <v>7</v>
      </c>
      <c r="Y30" s="6" t="s">
        <v>524</v>
      </c>
      <c r="Z30" s="6" t="s">
        <v>135</v>
      </c>
      <c r="AA30" s="6" t="s">
        <v>136</v>
      </c>
      <c r="AB30" s="6" t="s">
        <v>7</v>
      </c>
      <c r="AC30" s="6" t="s">
        <v>47</v>
      </c>
      <c r="AD30" s="6" t="s">
        <v>33</v>
      </c>
      <c r="AE30" s="7" t="s">
        <v>47</v>
      </c>
      <c r="AF30" s="6" t="s">
        <v>47</v>
      </c>
      <c r="AG30" s="6" t="s">
        <v>47</v>
      </c>
      <c r="AH30" s="6" t="s">
        <v>47</v>
      </c>
      <c r="AI30" s="6">
        <v>690</v>
      </c>
      <c r="AJ30" s="6" t="s">
        <v>107</v>
      </c>
      <c r="AK30" s="6"/>
      <c r="AL30" s="6" t="s">
        <v>227</v>
      </c>
      <c r="AM30" s="8">
        <v>46156</v>
      </c>
      <c r="AN30" s="6"/>
      <c r="AO30" s="6"/>
      <c r="AP30" s="6"/>
    </row>
    <row r="31" spans="1:42" ht="27.6" hidden="1" customHeight="1">
      <c r="A31" s="10" t="s">
        <v>289</v>
      </c>
      <c r="B31" s="6" t="s">
        <v>19</v>
      </c>
      <c r="C31" s="6" t="s">
        <v>551</v>
      </c>
      <c r="D31" s="6" t="s">
        <v>557</v>
      </c>
      <c r="E31" s="6" t="s">
        <v>558</v>
      </c>
      <c r="F31" s="6" t="s">
        <v>561</v>
      </c>
      <c r="G31" s="6" t="s">
        <v>140</v>
      </c>
      <c r="H31" s="6" t="s">
        <v>121</v>
      </c>
      <c r="I31" s="15"/>
      <c r="J31" s="15">
        <v>2</v>
      </c>
      <c r="K31" s="15">
        <v>12</v>
      </c>
      <c r="L31" s="15">
        <v>32</v>
      </c>
      <c r="M31" s="6">
        <v>12</v>
      </c>
      <c r="N31" s="15" t="s">
        <v>33</v>
      </c>
      <c r="O31" s="15">
        <v>11</v>
      </c>
      <c r="P31" s="15">
        <v>1</v>
      </c>
      <c r="Q31" s="15">
        <v>11</v>
      </c>
      <c r="R31" s="15" t="s">
        <v>100</v>
      </c>
      <c r="S31" s="15">
        <v>12</v>
      </c>
      <c r="T31" s="6">
        <v>3</v>
      </c>
      <c r="U31" s="6" t="s">
        <v>553</v>
      </c>
      <c r="V31" s="6" t="s">
        <v>123</v>
      </c>
      <c r="W31" s="6" t="s">
        <v>103</v>
      </c>
      <c r="X31" s="6" t="s">
        <v>7</v>
      </c>
      <c r="Y31" s="6" t="s">
        <v>368</v>
      </c>
      <c r="Z31" s="6" t="s">
        <v>143</v>
      </c>
      <c r="AA31" s="6" t="s">
        <v>106</v>
      </c>
      <c r="AB31" s="6" t="s">
        <v>7</v>
      </c>
      <c r="AC31" s="6" t="s">
        <v>47</v>
      </c>
      <c r="AD31" s="6" t="s">
        <v>33</v>
      </c>
      <c r="AE31" s="7" t="s">
        <v>33</v>
      </c>
      <c r="AF31" s="6" t="s">
        <v>47</v>
      </c>
      <c r="AG31" s="6" t="s">
        <v>47</v>
      </c>
      <c r="AH31" s="6" t="s">
        <v>47</v>
      </c>
      <c r="AI31" s="6">
        <v>985</v>
      </c>
      <c r="AJ31" s="6" t="s">
        <v>107</v>
      </c>
      <c r="AK31" s="6"/>
      <c r="AL31" s="6" t="s">
        <v>227</v>
      </c>
      <c r="AM31" s="8">
        <v>46157</v>
      </c>
      <c r="AN31" s="6"/>
      <c r="AO31" s="6"/>
      <c r="AP31" s="6"/>
    </row>
    <row r="32" spans="1:42" ht="27.6" hidden="1" customHeight="1">
      <c r="A32" s="10" t="s">
        <v>350</v>
      </c>
      <c r="B32" s="6" t="s">
        <v>11</v>
      </c>
      <c r="C32" s="6" t="s">
        <v>11</v>
      </c>
      <c r="D32" s="6" t="s">
        <v>516</v>
      </c>
      <c r="E32" s="14" t="s">
        <v>517</v>
      </c>
      <c r="F32" s="6" t="s">
        <v>519</v>
      </c>
      <c r="G32" s="6" t="s">
        <v>97</v>
      </c>
      <c r="H32" s="6" t="s">
        <v>132</v>
      </c>
      <c r="I32" s="6"/>
      <c r="J32" s="6"/>
      <c r="K32" s="6">
        <v>28</v>
      </c>
      <c r="L32" s="6">
        <v>28</v>
      </c>
      <c r="M32" s="6">
        <v>11.6</v>
      </c>
      <c r="N32" s="6" t="s">
        <v>33</v>
      </c>
      <c r="O32" s="6">
        <v>3</v>
      </c>
      <c r="P32" s="6">
        <v>2</v>
      </c>
      <c r="Q32" s="6">
        <v>6</v>
      </c>
      <c r="R32" s="6" t="s">
        <v>100</v>
      </c>
      <c r="S32" s="6">
        <v>14</v>
      </c>
      <c r="T32" s="6">
        <v>9.3000000000000007</v>
      </c>
      <c r="U32" s="6" t="s">
        <v>272</v>
      </c>
      <c r="V32" s="6" t="s">
        <v>273</v>
      </c>
      <c r="W32" s="6" t="s">
        <v>103</v>
      </c>
      <c r="X32" s="6" t="s">
        <v>9</v>
      </c>
      <c r="Y32" s="6" t="s">
        <v>248</v>
      </c>
      <c r="Z32" s="6" t="s">
        <v>143</v>
      </c>
      <c r="AA32" s="6" t="s">
        <v>126</v>
      </c>
      <c r="AB32" s="6" t="s">
        <v>9</v>
      </c>
      <c r="AC32" s="6" t="s">
        <v>47</v>
      </c>
      <c r="AD32" s="6" t="s">
        <v>33</v>
      </c>
      <c r="AE32" s="6" t="s">
        <v>47</v>
      </c>
      <c r="AF32" s="6" t="s">
        <v>47</v>
      </c>
      <c r="AG32" s="6" t="s">
        <v>47</v>
      </c>
      <c r="AH32" s="6" t="s">
        <v>47</v>
      </c>
      <c r="AI32" s="6">
        <v>399</v>
      </c>
      <c r="AJ32" s="6" t="s">
        <v>107</v>
      </c>
      <c r="AK32" s="6"/>
      <c r="AL32" s="6" t="s">
        <v>227</v>
      </c>
      <c r="AM32" s="8">
        <v>46156</v>
      </c>
      <c r="AN32" s="6"/>
      <c r="AO32" s="6"/>
      <c r="AP32" s="6" t="s">
        <v>9</v>
      </c>
    </row>
    <row r="33" spans="1:42" ht="27.6" hidden="1" customHeight="1">
      <c r="A33" s="10" t="s">
        <v>247</v>
      </c>
      <c r="B33" s="6" t="s">
        <v>15</v>
      </c>
      <c r="C33" s="6" t="s">
        <v>533</v>
      </c>
      <c r="D33" s="6" t="s">
        <v>542</v>
      </c>
      <c r="E33" s="4" t="s">
        <v>541</v>
      </c>
      <c r="F33" s="6" t="s">
        <v>543</v>
      </c>
      <c r="G33" s="6" t="s">
        <v>140</v>
      </c>
      <c r="H33" s="6" t="s">
        <v>121</v>
      </c>
      <c r="I33" s="15"/>
      <c r="J33" s="15">
        <v>1</v>
      </c>
      <c r="K33" s="15">
        <v>16</v>
      </c>
      <c r="L33" s="15">
        <v>32</v>
      </c>
      <c r="M33" s="6">
        <v>11</v>
      </c>
      <c r="N33" s="15" t="s">
        <v>33</v>
      </c>
      <c r="O33" s="15">
        <v>7</v>
      </c>
      <c r="P33" s="15">
        <v>1</v>
      </c>
      <c r="Q33" s="15">
        <v>7</v>
      </c>
      <c r="R33" s="15" t="s">
        <v>395</v>
      </c>
      <c r="S33" s="15">
        <v>16</v>
      </c>
      <c r="T33" s="6">
        <v>4.5</v>
      </c>
      <c r="U33" s="6" t="s">
        <v>101</v>
      </c>
      <c r="V33" s="6" t="s">
        <v>102</v>
      </c>
      <c r="W33" s="6" t="s">
        <v>200</v>
      </c>
      <c r="X33" s="6" t="s">
        <v>9</v>
      </c>
      <c r="Y33" s="6" t="s">
        <v>544</v>
      </c>
      <c r="Z33" s="6" t="s">
        <v>135</v>
      </c>
      <c r="AA33" s="6" t="s">
        <v>126</v>
      </c>
      <c r="AB33" s="6" t="s">
        <v>9</v>
      </c>
      <c r="AC33" s="6" t="s">
        <v>47</v>
      </c>
      <c r="AD33" s="6" t="s">
        <v>33</v>
      </c>
      <c r="AE33" s="7" t="s">
        <v>47</v>
      </c>
      <c r="AF33" s="6" t="s">
        <v>47</v>
      </c>
      <c r="AG33" s="6" t="s">
        <v>47</v>
      </c>
      <c r="AH33" s="6" t="s">
        <v>47</v>
      </c>
      <c r="AI33" s="6">
        <v>258</v>
      </c>
      <c r="AJ33" s="6" t="s">
        <v>107</v>
      </c>
      <c r="AK33" s="6"/>
      <c r="AL33" s="6" t="s">
        <v>227</v>
      </c>
      <c r="AM33" s="8">
        <v>46156</v>
      </c>
      <c r="AN33" s="6"/>
      <c r="AO33" s="6"/>
      <c r="AP33" s="6"/>
    </row>
    <row r="34" spans="1:42" ht="27.6" hidden="1" customHeight="1">
      <c r="A34" s="10" t="s">
        <v>226</v>
      </c>
      <c r="B34" s="6" t="s">
        <v>11</v>
      </c>
      <c r="C34" s="6" t="s">
        <v>11</v>
      </c>
      <c r="D34" s="6" t="s">
        <v>240</v>
      </c>
      <c r="E34" s="4" t="s">
        <v>241</v>
      </c>
      <c r="F34" s="6" t="s">
        <v>520</v>
      </c>
      <c r="G34" s="6" t="s">
        <v>175</v>
      </c>
      <c r="H34" s="6" t="s">
        <v>98</v>
      </c>
      <c r="I34" s="15" t="s">
        <v>242</v>
      </c>
      <c r="J34" s="15">
        <v>1</v>
      </c>
      <c r="K34" s="15">
        <v>51</v>
      </c>
      <c r="L34" s="15">
        <v>20</v>
      </c>
      <c r="M34" s="6">
        <v>12</v>
      </c>
      <c r="N34" s="15" t="s">
        <v>33</v>
      </c>
      <c r="O34" s="15">
        <v>2</v>
      </c>
      <c r="P34" s="15">
        <v>1</v>
      </c>
      <c r="Q34" s="15"/>
      <c r="R34" s="15" t="s">
        <v>100</v>
      </c>
      <c r="S34" s="15">
        <v>20</v>
      </c>
      <c r="T34" s="6">
        <v>25</v>
      </c>
      <c r="U34" s="6" t="s">
        <v>101</v>
      </c>
      <c r="V34" s="6" t="s">
        <v>102</v>
      </c>
      <c r="W34" s="6" t="s">
        <v>103</v>
      </c>
      <c r="X34" s="6" t="s">
        <v>7</v>
      </c>
      <c r="Y34" s="6" t="s">
        <v>243</v>
      </c>
      <c r="Z34" s="6" t="s">
        <v>238</v>
      </c>
      <c r="AA34" s="6" t="s">
        <v>126</v>
      </c>
      <c r="AB34" s="6" t="s">
        <v>7</v>
      </c>
      <c r="AC34" s="6" t="s">
        <v>47</v>
      </c>
      <c r="AD34" s="6" t="s">
        <v>33</v>
      </c>
      <c r="AE34" s="7" t="s">
        <v>33</v>
      </c>
      <c r="AF34" s="6" t="s">
        <v>47</v>
      </c>
      <c r="AG34" s="6" t="s">
        <v>47</v>
      </c>
      <c r="AH34" s="6" t="s">
        <v>47</v>
      </c>
      <c r="AI34" s="6"/>
      <c r="AJ34" s="6" t="s">
        <v>107</v>
      </c>
      <c r="AK34" s="6"/>
      <c r="AL34" s="6" t="s">
        <v>227</v>
      </c>
      <c r="AM34" s="8">
        <v>46156</v>
      </c>
      <c r="AN34" s="6" t="s">
        <v>244</v>
      </c>
      <c r="AO34" s="6" t="s">
        <v>245</v>
      </c>
      <c r="AP34" s="6" t="s">
        <v>7</v>
      </c>
    </row>
    <row r="35" spans="1:42" ht="27.6" customHeight="1">
      <c r="A35" s="10" t="s">
        <v>348</v>
      </c>
      <c r="B35" s="6" t="s">
        <v>536</v>
      </c>
      <c r="C35" s="6" t="s">
        <v>497</v>
      </c>
      <c r="D35" s="6" t="s">
        <v>498</v>
      </c>
      <c r="E35" s="4" t="s">
        <v>499</v>
      </c>
      <c r="F35" s="6" t="s">
        <v>500</v>
      </c>
      <c r="G35" s="6" t="s">
        <v>97</v>
      </c>
      <c r="H35" s="6" t="s">
        <v>121</v>
      </c>
      <c r="I35" s="6"/>
      <c r="J35" s="6"/>
      <c r="K35" s="6">
        <v>47</v>
      </c>
      <c r="L35" s="6">
        <v>40</v>
      </c>
      <c r="M35" s="6">
        <v>17</v>
      </c>
      <c r="N35" s="6" t="s">
        <v>33</v>
      </c>
      <c r="O35" s="6">
        <v>8</v>
      </c>
      <c r="P35" s="6">
        <v>2</v>
      </c>
      <c r="Q35" s="6">
        <v>16</v>
      </c>
      <c r="R35" s="6" t="s">
        <v>395</v>
      </c>
      <c r="S35" s="6">
        <v>23</v>
      </c>
      <c r="T35" s="6">
        <v>5</v>
      </c>
      <c r="U35" s="6" t="s">
        <v>101</v>
      </c>
      <c r="V35" s="6" t="s">
        <v>102</v>
      </c>
      <c r="W35" s="6" t="s">
        <v>200</v>
      </c>
      <c r="X35" s="6"/>
      <c r="Y35" s="6" t="s">
        <v>386</v>
      </c>
      <c r="Z35" s="6" t="s">
        <v>143</v>
      </c>
      <c r="AA35" s="6" t="s">
        <v>150</v>
      </c>
      <c r="AB35" s="6" t="s">
        <v>9</v>
      </c>
      <c r="AC35" s="6" t="s">
        <v>47</v>
      </c>
      <c r="AD35" s="6" t="s">
        <v>33</v>
      </c>
      <c r="AE35" s="6" t="s">
        <v>47</v>
      </c>
      <c r="AF35" s="6" t="s">
        <v>47</v>
      </c>
      <c r="AG35" s="6" t="s">
        <v>47</v>
      </c>
      <c r="AH35" s="6" t="s">
        <v>47</v>
      </c>
      <c r="AI35" s="6">
        <v>765</v>
      </c>
      <c r="AJ35" s="6" t="s">
        <v>107</v>
      </c>
      <c r="AK35" s="6"/>
      <c r="AL35" s="6" t="s">
        <v>227</v>
      </c>
      <c r="AM35" s="8">
        <v>46156</v>
      </c>
      <c r="AN35" s="6"/>
      <c r="AO35" s="6"/>
      <c r="AP35" s="6" t="s">
        <v>9</v>
      </c>
    </row>
    <row r="36" spans="1:42" ht="27.6" hidden="1" customHeight="1">
      <c r="A36" s="10" t="s">
        <v>277</v>
      </c>
      <c r="B36" s="6" t="s">
        <v>19</v>
      </c>
      <c r="C36" s="6" t="s">
        <v>551</v>
      </c>
      <c r="D36" s="6" t="s">
        <v>555</v>
      </c>
      <c r="E36" s="4" t="s">
        <v>556</v>
      </c>
      <c r="F36" s="6" t="s">
        <v>559</v>
      </c>
      <c r="G36" s="6" t="s">
        <v>140</v>
      </c>
      <c r="H36" s="6" t="s">
        <v>121</v>
      </c>
      <c r="I36" s="15"/>
      <c r="J36" s="15">
        <v>2</v>
      </c>
      <c r="K36" s="15">
        <v>24</v>
      </c>
      <c r="L36" s="15">
        <v>41</v>
      </c>
      <c r="M36" s="6">
        <v>18</v>
      </c>
      <c r="N36" s="15" t="s">
        <v>33</v>
      </c>
      <c r="O36" s="15">
        <v>9</v>
      </c>
      <c r="P36" s="15">
        <v>1</v>
      </c>
      <c r="Q36" s="15">
        <v>9</v>
      </c>
      <c r="R36" s="15" t="s">
        <v>100</v>
      </c>
      <c r="S36" s="15">
        <f>SkuCatalogTable[[#This Row],[width_cm]]/SkuCatalogTable[[#This Row],[rows]]</f>
        <v>24</v>
      </c>
      <c r="T36" s="6">
        <v>4.5</v>
      </c>
      <c r="U36" s="6" t="s">
        <v>553</v>
      </c>
      <c r="V36" s="6" t="s">
        <v>123</v>
      </c>
      <c r="W36" s="6" t="s">
        <v>103</v>
      </c>
      <c r="X36" s="6" t="s">
        <v>7</v>
      </c>
      <c r="Y36" s="6" t="s">
        <v>368</v>
      </c>
      <c r="Z36" s="6" t="s">
        <v>143</v>
      </c>
      <c r="AA36" s="6" t="s">
        <v>106</v>
      </c>
      <c r="AB36" s="6" t="s">
        <v>7</v>
      </c>
      <c r="AC36" s="6" t="s">
        <v>47</v>
      </c>
      <c r="AD36" s="6" t="s">
        <v>33</v>
      </c>
      <c r="AE36" s="7" t="s">
        <v>33</v>
      </c>
      <c r="AF36" s="6" t="s">
        <v>47</v>
      </c>
      <c r="AG36" s="6" t="s">
        <v>47</v>
      </c>
      <c r="AH36" s="6" t="s">
        <v>47</v>
      </c>
      <c r="AI36" s="6">
        <v>1361</v>
      </c>
      <c r="AJ36" s="6" t="s">
        <v>107</v>
      </c>
      <c r="AK36" s="6"/>
      <c r="AL36" s="6" t="s">
        <v>227</v>
      </c>
      <c r="AM36" s="8">
        <v>46157</v>
      </c>
      <c r="AN36" s="6"/>
      <c r="AO36" s="6"/>
      <c r="AP36" s="6"/>
    </row>
    <row r="37" spans="1:42" ht="27.6" hidden="1" customHeight="1">
      <c r="A37" s="10" t="s">
        <v>307</v>
      </c>
      <c r="B37" s="6" t="s">
        <v>19</v>
      </c>
      <c r="C37" s="6" t="s">
        <v>551</v>
      </c>
      <c r="D37" s="6" t="s">
        <v>573</v>
      </c>
      <c r="E37" s="4" t="s">
        <v>574</v>
      </c>
      <c r="F37" s="6" t="s">
        <v>559</v>
      </c>
      <c r="G37" s="6" t="s">
        <v>140</v>
      </c>
      <c r="H37" s="6" t="s">
        <v>121</v>
      </c>
      <c r="I37" s="15"/>
      <c r="J37" s="15">
        <v>2</v>
      </c>
      <c r="K37" s="15">
        <v>24</v>
      </c>
      <c r="L37" s="15">
        <v>41</v>
      </c>
      <c r="M37" s="6">
        <v>18</v>
      </c>
      <c r="N37" s="15" t="s">
        <v>33</v>
      </c>
      <c r="O37" s="15">
        <v>7</v>
      </c>
      <c r="P37" s="15">
        <v>1</v>
      </c>
      <c r="Q37" s="15">
        <v>7</v>
      </c>
      <c r="R37" s="15" t="s">
        <v>100</v>
      </c>
      <c r="S37" s="15">
        <f>SkuCatalogTable[[#This Row],[width_cm]]/SkuCatalogTable[[#This Row],[rows]]</f>
        <v>24</v>
      </c>
      <c r="T37" s="6">
        <v>6.5</v>
      </c>
      <c r="U37" s="6" t="s">
        <v>272</v>
      </c>
      <c r="V37" s="6" t="s">
        <v>273</v>
      </c>
      <c r="W37" s="6" t="s">
        <v>103</v>
      </c>
      <c r="X37" s="6" t="s">
        <v>9</v>
      </c>
      <c r="Y37" s="6" t="s">
        <v>576</v>
      </c>
      <c r="Z37" s="6" t="s">
        <v>143</v>
      </c>
      <c r="AA37" s="6" t="s">
        <v>106</v>
      </c>
      <c r="AB37" s="6" t="s">
        <v>9</v>
      </c>
      <c r="AC37" s="6" t="s">
        <v>47</v>
      </c>
      <c r="AD37" s="6" t="s">
        <v>33</v>
      </c>
      <c r="AE37" s="7" t="s">
        <v>33</v>
      </c>
      <c r="AF37" s="6" t="s">
        <v>47</v>
      </c>
      <c r="AG37" s="6" t="s">
        <v>47</v>
      </c>
      <c r="AH37" s="6" t="s">
        <v>47</v>
      </c>
      <c r="AI37" s="6">
        <v>1366</v>
      </c>
      <c r="AJ37" s="6" t="s">
        <v>107</v>
      </c>
      <c r="AK37" s="6"/>
      <c r="AL37" s="6" t="s">
        <v>227</v>
      </c>
      <c r="AM37" s="8">
        <v>46157</v>
      </c>
      <c r="AN37" s="6"/>
      <c r="AO37" s="6"/>
      <c r="AP37" s="6"/>
    </row>
    <row r="38" spans="1:42" ht="27.6" customHeight="1">
      <c r="A38" s="12" t="s">
        <v>146</v>
      </c>
      <c r="B38" s="6" t="s">
        <v>536</v>
      </c>
      <c r="C38" s="6" t="s">
        <v>154</v>
      </c>
      <c r="D38" s="6" t="s">
        <v>155</v>
      </c>
      <c r="E38" s="4" t="s">
        <v>156</v>
      </c>
      <c r="F38" s="6" t="s">
        <v>503</v>
      </c>
      <c r="G38" s="6" t="s">
        <v>140</v>
      </c>
      <c r="H38" s="6" t="s">
        <v>121</v>
      </c>
      <c r="I38" s="15" t="s">
        <v>158</v>
      </c>
      <c r="J38" s="15">
        <v>1</v>
      </c>
      <c r="K38" s="15">
        <v>25</v>
      </c>
      <c r="L38" s="15">
        <v>36</v>
      </c>
      <c r="M38" s="6">
        <v>20</v>
      </c>
      <c r="N38" s="15" t="s">
        <v>33</v>
      </c>
      <c r="O38" s="15">
        <v>7</v>
      </c>
      <c r="P38" s="15">
        <v>1</v>
      </c>
      <c r="Q38" s="15">
        <v>7</v>
      </c>
      <c r="R38" s="15" t="s">
        <v>100</v>
      </c>
      <c r="S38" s="15">
        <v>25</v>
      </c>
      <c r="T38" s="6">
        <v>5</v>
      </c>
      <c r="U38" s="6" t="s">
        <v>101</v>
      </c>
      <c r="V38" s="6" t="s">
        <v>102</v>
      </c>
      <c r="W38" s="6" t="s">
        <v>103</v>
      </c>
      <c r="X38" s="6" t="s">
        <v>7</v>
      </c>
      <c r="Y38" s="6" t="s">
        <v>159</v>
      </c>
      <c r="Z38" s="6" t="s">
        <v>143</v>
      </c>
      <c r="AA38" s="6" t="s">
        <v>106</v>
      </c>
      <c r="AB38" s="6" t="s">
        <v>9</v>
      </c>
      <c r="AC38" s="6" t="s">
        <v>47</v>
      </c>
      <c r="AD38" s="6" t="s">
        <v>33</v>
      </c>
      <c r="AE38" s="7" t="s">
        <v>33</v>
      </c>
      <c r="AF38" s="6" t="s">
        <v>47</v>
      </c>
      <c r="AG38" s="6" t="s">
        <v>47</v>
      </c>
      <c r="AH38" s="6" t="s">
        <v>47</v>
      </c>
      <c r="AI38" s="6">
        <v>209</v>
      </c>
      <c r="AJ38" s="6" t="s">
        <v>107</v>
      </c>
      <c r="AK38" s="6"/>
      <c r="AL38" s="6" t="s">
        <v>227</v>
      </c>
      <c r="AM38" s="8">
        <v>46156</v>
      </c>
      <c r="AN38" s="6" t="s">
        <v>160</v>
      </c>
      <c r="AO38" s="6" t="s">
        <v>161</v>
      </c>
      <c r="AP38" s="6" t="s">
        <v>9</v>
      </c>
    </row>
    <row r="39" spans="1:42" ht="27.6" hidden="1" customHeight="1">
      <c r="A39" s="10" t="s">
        <v>250</v>
      </c>
      <c r="B39" s="6" t="s">
        <v>15</v>
      </c>
      <c r="C39" s="6" t="s">
        <v>545</v>
      </c>
      <c r="D39" s="6" t="s">
        <v>547</v>
      </c>
      <c r="E39" s="4" t="s">
        <v>546</v>
      </c>
      <c r="F39" s="6"/>
      <c r="G39" s="6" t="s">
        <v>97</v>
      </c>
      <c r="H39" s="6" t="s">
        <v>132</v>
      </c>
      <c r="I39" s="15"/>
      <c r="J39" s="15">
        <v>2</v>
      </c>
      <c r="K39" s="15">
        <v>25</v>
      </c>
      <c r="L39" s="15">
        <v>45</v>
      </c>
      <c r="M39" s="6">
        <v>18</v>
      </c>
      <c r="N39" s="15" t="s">
        <v>33</v>
      </c>
      <c r="O39" s="15">
        <v>9</v>
      </c>
      <c r="P39" s="15">
        <v>1</v>
      </c>
      <c r="Q39" s="15">
        <v>9</v>
      </c>
      <c r="R39" s="15" t="s">
        <v>100</v>
      </c>
      <c r="S39" s="15">
        <v>25</v>
      </c>
      <c r="T39" s="6">
        <v>9</v>
      </c>
      <c r="U39" s="6" t="s">
        <v>101</v>
      </c>
      <c r="V39" s="6" t="s">
        <v>102</v>
      </c>
      <c r="W39" s="6" t="s">
        <v>200</v>
      </c>
      <c r="X39" s="6" t="s">
        <v>9</v>
      </c>
      <c r="Y39" s="6" t="s">
        <v>548</v>
      </c>
      <c r="Z39" s="6" t="s">
        <v>238</v>
      </c>
      <c r="AA39" s="6" t="s">
        <v>126</v>
      </c>
      <c r="AB39" s="6" t="s">
        <v>9</v>
      </c>
      <c r="AC39" s="6" t="s">
        <v>47</v>
      </c>
      <c r="AD39" s="6" t="s">
        <v>33</v>
      </c>
      <c r="AE39" s="7" t="s">
        <v>47</v>
      </c>
      <c r="AF39" s="6" t="s">
        <v>47</v>
      </c>
      <c r="AG39" s="6" t="s">
        <v>47</v>
      </c>
      <c r="AH39" s="6" t="s">
        <v>47</v>
      </c>
      <c r="AI39" s="6">
        <v>1705</v>
      </c>
      <c r="AJ39" s="6" t="s">
        <v>107</v>
      </c>
      <c r="AK39" s="6"/>
      <c r="AL39" s="6" t="s">
        <v>227</v>
      </c>
      <c r="AM39" s="8">
        <v>46156</v>
      </c>
      <c r="AN39" s="6"/>
      <c r="AO39" s="6"/>
      <c r="AP39" s="6"/>
    </row>
    <row r="40" spans="1:42" ht="27.6" hidden="1" customHeight="1">
      <c r="A40" s="10" t="s">
        <v>267</v>
      </c>
      <c r="B40" s="6" t="s">
        <v>19</v>
      </c>
      <c r="C40" s="6" t="s">
        <v>551</v>
      </c>
      <c r="D40" s="6" t="s">
        <v>554</v>
      </c>
      <c r="E40" s="4" t="s">
        <v>552</v>
      </c>
      <c r="F40" s="6" t="s">
        <v>560</v>
      </c>
      <c r="G40" s="6" t="s">
        <v>140</v>
      </c>
      <c r="H40" s="6" t="s">
        <v>121</v>
      </c>
      <c r="I40" s="15"/>
      <c r="J40" s="15">
        <v>2</v>
      </c>
      <c r="K40" s="15">
        <v>28</v>
      </c>
      <c r="L40" s="15">
        <v>47</v>
      </c>
      <c r="M40" s="6">
        <v>20</v>
      </c>
      <c r="N40" s="15" t="s">
        <v>33</v>
      </c>
      <c r="O40" s="15">
        <v>5</v>
      </c>
      <c r="P40" s="15">
        <v>1</v>
      </c>
      <c r="Q40" s="15">
        <v>5</v>
      </c>
      <c r="R40" s="15" t="s">
        <v>100</v>
      </c>
      <c r="S40" s="15">
        <v>28</v>
      </c>
      <c r="T40" s="6">
        <v>9.4</v>
      </c>
      <c r="U40" s="6" t="s">
        <v>553</v>
      </c>
      <c r="V40" s="6" t="s">
        <v>123</v>
      </c>
      <c r="W40" s="6" t="s">
        <v>103</v>
      </c>
      <c r="X40" s="6" t="s">
        <v>7</v>
      </c>
      <c r="Y40" s="6" t="s">
        <v>368</v>
      </c>
      <c r="Z40" s="6" t="s">
        <v>143</v>
      </c>
      <c r="AA40" s="6" t="s">
        <v>106</v>
      </c>
      <c r="AB40" s="6" t="s">
        <v>7</v>
      </c>
      <c r="AC40" s="6" t="s">
        <v>47</v>
      </c>
      <c r="AD40" s="6" t="s">
        <v>33</v>
      </c>
      <c r="AE40" s="7" t="s">
        <v>33</v>
      </c>
      <c r="AF40" s="6" t="s">
        <v>47</v>
      </c>
      <c r="AG40" s="6" t="s">
        <v>47</v>
      </c>
      <c r="AH40" s="6" t="s">
        <v>47</v>
      </c>
      <c r="AI40" s="6">
        <v>1395</v>
      </c>
      <c r="AJ40" s="6" t="s">
        <v>107</v>
      </c>
      <c r="AK40" s="6"/>
      <c r="AL40" s="6" t="s">
        <v>227</v>
      </c>
      <c r="AM40" s="8">
        <v>46157</v>
      </c>
      <c r="AN40" s="6"/>
      <c r="AO40" s="6"/>
      <c r="AP40" s="6"/>
    </row>
    <row r="41" spans="1:42" ht="27.6" hidden="1" customHeight="1">
      <c r="A41" s="10" t="s">
        <v>235</v>
      </c>
      <c r="B41" s="6" t="s">
        <v>15</v>
      </c>
      <c r="C41" s="6" t="s">
        <v>533</v>
      </c>
      <c r="D41" s="6" t="s">
        <v>534</v>
      </c>
      <c r="E41" s="4" t="s">
        <v>540</v>
      </c>
      <c r="F41" s="6" t="s">
        <v>535</v>
      </c>
      <c r="G41" s="6" t="s">
        <v>140</v>
      </c>
      <c r="H41" s="6" t="s">
        <v>121</v>
      </c>
      <c r="I41" s="15"/>
      <c r="J41" s="15">
        <v>1</v>
      </c>
      <c r="K41" s="15">
        <v>32</v>
      </c>
      <c r="L41" s="15">
        <v>32</v>
      </c>
      <c r="M41" s="6">
        <v>11</v>
      </c>
      <c r="N41" s="15" t="s">
        <v>33</v>
      </c>
      <c r="O41" s="15">
        <v>6</v>
      </c>
      <c r="P41" s="15">
        <v>1</v>
      </c>
      <c r="Q41" s="15">
        <v>6</v>
      </c>
      <c r="R41" s="15" t="s">
        <v>100</v>
      </c>
      <c r="S41" s="15">
        <v>31</v>
      </c>
      <c r="T41" s="6">
        <v>4.5</v>
      </c>
      <c r="U41" s="6" t="s">
        <v>101</v>
      </c>
      <c r="V41" s="6" t="s">
        <v>102</v>
      </c>
      <c r="W41" s="6" t="s">
        <v>200</v>
      </c>
      <c r="X41" s="6" t="s">
        <v>9</v>
      </c>
      <c r="Y41" s="6" t="s">
        <v>532</v>
      </c>
      <c r="Z41" s="6" t="s">
        <v>143</v>
      </c>
      <c r="AA41" s="6" t="s">
        <v>126</v>
      </c>
      <c r="AB41" s="6" t="s">
        <v>9</v>
      </c>
      <c r="AC41" s="6" t="s">
        <v>47</v>
      </c>
      <c r="AD41" s="6" t="s">
        <v>33</v>
      </c>
      <c r="AE41" s="7" t="s">
        <v>33</v>
      </c>
      <c r="AF41" s="6" t="s">
        <v>47</v>
      </c>
      <c r="AG41" s="6" t="s">
        <v>47</v>
      </c>
      <c r="AH41" s="6" t="s">
        <v>47</v>
      </c>
      <c r="AI41" s="6">
        <v>248</v>
      </c>
      <c r="AJ41" s="6" t="s">
        <v>107</v>
      </c>
      <c r="AK41" s="6"/>
      <c r="AL41" s="6" t="s">
        <v>227</v>
      </c>
      <c r="AM41" s="8">
        <v>46156</v>
      </c>
      <c r="AN41" s="6"/>
      <c r="AO41" s="6"/>
      <c r="AP41" s="6"/>
    </row>
    <row r="42" spans="1:42" ht="27.6" customHeight="1">
      <c r="A42" s="12" t="s">
        <v>129</v>
      </c>
      <c r="B42" s="6" t="s">
        <v>536</v>
      </c>
      <c r="C42" s="6" t="s">
        <v>501</v>
      </c>
      <c r="D42" s="6" t="s">
        <v>138</v>
      </c>
      <c r="E42" s="4" t="s">
        <v>594</v>
      </c>
      <c r="F42" s="6" t="s">
        <v>502</v>
      </c>
      <c r="G42" s="6" t="s">
        <v>140</v>
      </c>
      <c r="H42" s="6" t="s">
        <v>121</v>
      </c>
      <c r="I42" s="15" t="s">
        <v>141</v>
      </c>
      <c r="J42" s="15">
        <v>1</v>
      </c>
      <c r="K42" s="15">
        <v>32</v>
      </c>
      <c r="L42" s="15">
        <v>32</v>
      </c>
      <c r="M42" s="6">
        <v>12</v>
      </c>
      <c r="N42" s="15" t="s">
        <v>33</v>
      </c>
      <c r="O42" s="15">
        <v>7</v>
      </c>
      <c r="P42" s="15">
        <v>1</v>
      </c>
      <c r="Q42" s="15">
        <v>7</v>
      </c>
      <c r="R42" s="15" t="s">
        <v>100</v>
      </c>
      <c r="S42" s="15">
        <v>32</v>
      </c>
      <c r="T42" s="6">
        <v>4.5999999999999996</v>
      </c>
      <c r="U42" s="6" t="s">
        <v>101</v>
      </c>
      <c r="V42" s="6" t="s">
        <v>102</v>
      </c>
      <c r="W42" s="6" t="s">
        <v>103</v>
      </c>
      <c r="X42" s="6" t="s">
        <v>7</v>
      </c>
      <c r="Y42" s="6" t="s">
        <v>142</v>
      </c>
      <c r="Z42" s="6" t="s">
        <v>143</v>
      </c>
      <c r="AA42" s="6" t="s">
        <v>106</v>
      </c>
      <c r="AB42" s="6" t="s">
        <v>9</v>
      </c>
      <c r="AC42" s="6" t="s">
        <v>47</v>
      </c>
      <c r="AD42" s="6" t="s">
        <v>33</v>
      </c>
      <c r="AE42" s="7" t="s">
        <v>33</v>
      </c>
      <c r="AF42" s="6" t="s">
        <v>47</v>
      </c>
      <c r="AG42" s="6" t="s">
        <v>47</v>
      </c>
      <c r="AH42" s="6" t="s">
        <v>47</v>
      </c>
      <c r="AI42" s="6"/>
      <c r="AJ42" s="6" t="s">
        <v>107</v>
      </c>
      <c r="AK42" s="6"/>
      <c r="AL42" s="6" t="s">
        <v>108</v>
      </c>
      <c r="AM42" s="8">
        <v>46156</v>
      </c>
      <c r="AN42" s="6" t="s">
        <v>144</v>
      </c>
      <c r="AO42" s="6" t="s">
        <v>145</v>
      </c>
      <c r="AP42" s="6" t="s">
        <v>9</v>
      </c>
    </row>
    <row r="43" spans="1:42" ht="27.6" hidden="1" customHeight="1">
      <c r="A43" s="10" t="s">
        <v>290</v>
      </c>
      <c r="B43" s="6" t="s">
        <v>550</v>
      </c>
      <c r="C43" s="6" t="s">
        <v>268</v>
      </c>
      <c r="D43" s="6" t="s">
        <v>301</v>
      </c>
      <c r="E43" s="4" t="s">
        <v>302</v>
      </c>
      <c r="F43" s="6" t="s">
        <v>535</v>
      </c>
      <c r="G43" s="6" t="s">
        <v>140</v>
      </c>
      <c r="H43" s="6" t="s">
        <v>121</v>
      </c>
      <c r="I43" s="15" t="s">
        <v>303</v>
      </c>
      <c r="J43" s="15">
        <v>1</v>
      </c>
      <c r="K43" s="15">
        <v>32</v>
      </c>
      <c r="L43" s="15">
        <v>32</v>
      </c>
      <c r="M43" s="6">
        <v>10</v>
      </c>
      <c r="N43" s="15" t="s">
        <v>33</v>
      </c>
      <c r="O43" s="15">
        <v>7</v>
      </c>
      <c r="P43" s="15">
        <v>1</v>
      </c>
      <c r="Q43" s="15">
        <v>7</v>
      </c>
      <c r="R43" s="15" t="s">
        <v>100</v>
      </c>
      <c r="S43" s="15">
        <v>32</v>
      </c>
      <c r="T43" s="6">
        <v>4.5999999999999996</v>
      </c>
      <c r="U43" s="6" t="s">
        <v>101</v>
      </c>
      <c r="V43" s="6" t="s">
        <v>102</v>
      </c>
      <c r="W43" s="6" t="s">
        <v>103</v>
      </c>
      <c r="X43" s="6" t="s">
        <v>7</v>
      </c>
      <c r="Y43" s="6" t="s">
        <v>274</v>
      </c>
      <c r="Z43" s="6" t="s">
        <v>125</v>
      </c>
      <c r="AA43" s="6" t="s">
        <v>126</v>
      </c>
      <c r="AB43" s="6" t="s">
        <v>7</v>
      </c>
      <c r="AC43" s="6" t="s">
        <v>47</v>
      </c>
      <c r="AD43" s="6" t="s">
        <v>33</v>
      </c>
      <c r="AE43" s="7" t="s">
        <v>33</v>
      </c>
      <c r="AF43" s="6" t="s">
        <v>47</v>
      </c>
      <c r="AG43" s="6" t="s">
        <v>47</v>
      </c>
      <c r="AH43" s="6" t="s">
        <v>47</v>
      </c>
      <c r="AI43" s="6"/>
      <c r="AJ43" s="6" t="s">
        <v>107</v>
      </c>
      <c r="AK43" s="6"/>
      <c r="AL43" s="6" t="s">
        <v>227</v>
      </c>
      <c r="AM43" s="8">
        <v>46156</v>
      </c>
      <c r="AN43" s="6" t="s">
        <v>304</v>
      </c>
      <c r="AO43" s="6" t="s">
        <v>305</v>
      </c>
      <c r="AP43" s="6" t="s">
        <v>9</v>
      </c>
    </row>
    <row r="44" spans="1:42" ht="30.75" customHeight="1">
      <c r="A44" s="12" t="s">
        <v>137</v>
      </c>
      <c r="B44" s="6" t="s">
        <v>536</v>
      </c>
      <c r="C44" s="6" t="s">
        <v>92</v>
      </c>
      <c r="D44" s="6" t="s">
        <v>147</v>
      </c>
      <c r="E44" s="4" t="s">
        <v>506</v>
      </c>
      <c r="F44" s="6" t="s">
        <v>502</v>
      </c>
      <c r="G44" s="6" t="s">
        <v>140</v>
      </c>
      <c r="H44" s="6" t="s">
        <v>121</v>
      </c>
      <c r="I44" s="15" t="s">
        <v>148</v>
      </c>
      <c r="J44" s="15">
        <v>1</v>
      </c>
      <c r="K44" s="15">
        <v>34</v>
      </c>
      <c r="L44" s="15">
        <v>30.5</v>
      </c>
      <c r="M44" s="6">
        <v>10</v>
      </c>
      <c r="N44" s="15" t="s">
        <v>33</v>
      </c>
      <c r="O44" s="15">
        <v>7</v>
      </c>
      <c r="P44" s="15">
        <v>1</v>
      </c>
      <c r="Q44" s="15">
        <v>7</v>
      </c>
      <c r="R44" s="15" t="s">
        <v>100</v>
      </c>
      <c r="S44" s="15">
        <v>34</v>
      </c>
      <c r="T44" s="6">
        <v>4.4000000000000004</v>
      </c>
      <c r="U44" s="6" t="s">
        <v>101</v>
      </c>
      <c r="V44" s="6" t="s">
        <v>102</v>
      </c>
      <c r="W44" s="6" t="s">
        <v>103</v>
      </c>
      <c r="X44" s="6" t="s">
        <v>7</v>
      </c>
      <c r="Y44" s="6" t="s">
        <v>149</v>
      </c>
      <c r="Z44" s="6" t="s">
        <v>143</v>
      </c>
      <c r="AA44" s="6" t="s">
        <v>150</v>
      </c>
      <c r="AB44" s="6" t="s">
        <v>7</v>
      </c>
      <c r="AC44" s="6" t="s">
        <v>47</v>
      </c>
      <c r="AD44" s="6" t="s">
        <v>33</v>
      </c>
      <c r="AE44" s="7" t="s">
        <v>33</v>
      </c>
      <c r="AF44" s="6" t="s">
        <v>47</v>
      </c>
      <c r="AG44" s="6" t="s">
        <v>47</v>
      </c>
      <c r="AH44" s="6" t="s">
        <v>47</v>
      </c>
      <c r="AI44" s="6">
        <v>349</v>
      </c>
      <c r="AJ44" s="6" t="s">
        <v>107</v>
      </c>
      <c r="AK44" s="6"/>
      <c r="AL44" s="6" t="s">
        <v>108</v>
      </c>
      <c r="AM44" s="8">
        <v>46156</v>
      </c>
      <c r="AN44" s="6" t="s">
        <v>151</v>
      </c>
      <c r="AO44" s="6" t="s">
        <v>152</v>
      </c>
      <c r="AP44" s="6" t="s">
        <v>9</v>
      </c>
    </row>
    <row r="45" spans="1:42" ht="27.9" hidden="1" customHeight="1">
      <c r="A45" s="12" t="s">
        <v>153</v>
      </c>
      <c r="B45" s="6" t="s">
        <v>6</v>
      </c>
      <c r="C45" s="6" t="s">
        <v>163</v>
      </c>
      <c r="D45" s="6" t="s">
        <v>164</v>
      </c>
      <c r="E45" s="4" t="s">
        <v>165</v>
      </c>
      <c r="F45" s="6" t="s">
        <v>503</v>
      </c>
      <c r="G45" s="6" t="s">
        <v>140</v>
      </c>
      <c r="H45" s="6" t="s">
        <v>98</v>
      </c>
      <c r="I45" s="15" t="s">
        <v>166</v>
      </c>
      <c r="J45" s="15"/>
      <c r="K45" s="15">
        <v>34</v>
      </c>
      <c r="L45" s="15">
        <v>15</v>
      </c>
      <c r="M45" s="6">
        <v>10</v>
      </c>
      <c r="N45" s="15" t="s">
        <v>33</v>
      </c>
      <c r="O45" s="15">
        <v>6</v>
      </c>
      <c r="P45" s="15">
        <v>1</v>
      </c>
      <c r="Q45" s="15">
        <v>6</v>
      </c>
      <c r="R45" s="15" t="s">
        <v>167</v>
      </c>
      <c r="S45" s="15">
        <v>34</v>
      </c>
      <c r="T45" s="6">
        <v>2.5</v>
      </c>
      <c r="U45" s="6" t="s">
        <v>101</v>
      </c>
      <c r="V45" s="6" t="s">
        <v>102</v>
      </c>
      <c r="W45" s="6" t="s">
        <v>103</v>
      </c>
      <c r="X45" s="6" t="s">
        <v>7</v>
      </c>
      <c r="Y45" s="6" t="s">
        <v>142</v>
      </c>
      <c r="Z45" s="6" t="s">
        <v>143</v>
      </c>
      <c r="AA45" s="6" t="s">
        <v>106</v>
      </c>
      <c r="AB45" s="6" t="s">
        <v>9</v>
      </c>
      <c r="AC45" s="6" t="s">
        <v>47</v>
      </c>
      <c r="AD45" s="6" t="s">
        <v>33</v>
      </c>
      <c r="AE45" s="7" t="s">
        <v>33</v>
      </c>
      <c r="AF45" s="6" t="s">
        <v>47</v>
      </c>
      <c r="AG45" s="6" t="s">
        <v>47</v>
      </c>
      <c r="AH45" s="6" t="s">
        <v>47</v>
      </c>
      <c r="AI45" s="6">
        <v>129</v>
      </c>
      <c r="AJ45" s="6" t="s">
        <v>107</v>
      </c>
      <c r="AK45" s="6"/>
      <c r="AL45" s="6" t="s">
        <v>485</v>
      </c>
      <c r="AM45" s="6" t="s">
        <v>109</v>
      </c>
      <c r="AN45" s="6" t="s">
        <v>168</v>
      </c>
      <c r="AO45" s="6" t="s">
        <v>169</v>
      </c>
      <c r="AP45" s="6" t="s">
        <v>170</v>
      </c>
    </row>
    <row r="46" spans="1:42" ht="25.65" hidden="1" customHeight="1">
      <c r="A46" s="11" t="s">
        <v>203</v>
      </c>
      <c r="B46" s="6" t="s">
        <v>6</v>
      </c>
      <c r="C46" s="6" t="s">
        <v>204</v>
      </c>
      <c r="D46" s="6" t="s">
        <v>205</v>
      </c>
      <c r="E46" s="4" t="s">
        <v>206</v>
      </c>
      <c r="F46" s="6"/>
      <c r="G46" s="6" t="s">
        <v>192</v>
      </c>
      <c r="H46" s="6" t="s">
        <v>132</v>
      </c>
      <c r="I46" s="15" t="s">
        <v>208</v>
      </c>
      <c r="J46" s="15"/>
      <c r="K46" s="15">
        <v>32</v>
      </c>
      <c r="L46" s="15">
        <v>24</v>
      </c>
      <c r="M46" s="6">
        <v>6</v>
      </c>
      <c r="N46" s="15" t="s">
        <v>33</v>
      </c>
      <c r="O46" s="15"/>
      <c r="P46" s="15"/>
      <c r="Q46" s="15">
        <v>6</v>
      </c>
      <c r="R46" s="15" t="s">
        <v>100</v>
      </c>
      <c r="S46" s="15"/>
      <c r="T46" s="6"/>
      <c r="U46" s="6" t="s">
        <v>209</v>
      </c>
      <c r="V46" s="6" t="s">
        <v>210</v>
      </c>
      <c r="W46" s="6" t="s">
        <v>210</v>
      </c>
      <c r="X46" s="6" t="s">
        <v>7</v>
      </c>
      <c r="Y46" s="6" t="s">
        <v>134</v>
      </c>
      <c r="Z46" s="6" t="s">
        <v>135</v>
      </c>
      <c r="AA46" s="6" t="s">
        <v>136</v>
      </c>
      <c r="AB46" s="6" t="s">
        <v>7</v>
      </c>
      <c r="AC46" s="6" t="s">
        <v>47</v>
      </c>
      <c r="AD46" s="6" t="s">
        <v>47</v>
      </c>
      <c r="AE46" s="7" t="s">
        <v>47</v>
      </c>
      <c r="AF46" s="6" t="s">
        <v>33</v>
      </c>
      <c r="AG46" s="6" t="s">
        <v>33</v>
      </c>
      <c r="AH46" s="6" t="s">
        <v>108</v>
      </c>
      <c r="AI46" s="6"/>
      <c r="AJ46" s="6" t="s">
        <v>107</v>
      </c>
      <c r="AK46" s="6"/>
      <c r="AL46" s="6" t="s">
        <v>485</v>
      </c>
      <c r="AM46" s="8">
        <v>46156</v>
      </c>
      <c r="AN46" s="6" t="s">
        <v>211</v>
      </c>
      <c r="AO46" s="6" t="s">
        <v>212</v>
      </c>
      <c r="AP46" s="6" t="s">
        <v>9</v>
      </c>
    </row>
    <row r="47" spans="1:42" ht="37.200000000000003" hidden="1" customHeight="1">
      <c r="A47" s="11" t="s">
        <v>213</v>
      </c>
      <c r="B47" s="6" t="s">
        <v>11</v>
      </c>
      <c r="C47" s="6" t="s">
        <v>214</v>
      </c>
      <c r="D47" s="6" t="s">
        <v>215</v>
      </c>
      <c r="E47" s="4" t="s">
        <v>216</v>
      </c>
      <c r="F47" s="6"/>
      <c r="G47" s="6" t="s">
        <v>175</v>
      </c>
      <c r="H47" s="6" t="s">
        <v>121</v>
      </c>
      <c r="I47" s="15" t="s">
        <v>218</v>
      </c>
      <c r="J47" s="15">
        <v>1</v>
      </c>
      <c r="K47" s="15">
        <v>33</v>
      </c>
      <c r="L47" s="15">
        <v>33</v>
      </c>
      <c r="M47" s="6">
        <v>9</v>
      </c>
      <c r="N47" s="15" t="s">
        <v>33</v>
      </c>
      <c r="O47" s="15"/>
      <c r="P47" s="15"/>
      <c r="Q47" s="15"/>
      <c r="R47" s="15" t="s">
        <v>100</v>
      </c>
      <c r="S47" s="15"/>
      <c r="T47" s="6"/>
      <c r="U47" s="6" t="s">
        <v>219</v>
      </c>
      <c r="V47" s="6" t="s">
        <v>220</v>
      </c>
      <c r="W47" s="6" t="s">
        <v>221</v>
      </c>
      <c r="X47" s="6" t="s">
        <v>7</v>
      </c>
      <c r="Y47" s="6" t="s">
        <v>222</v>
      </c>
      <c r="Z47" s="6" t="s">
        <v>105</v>
      </c>
      <c r="AA47" s="6" t="s">
        <v>150</v>
      </c>
      <c r="AB47" s="6" t="s">
        <v>7</v>
      </c>
      <c r="AC47" s="6" t="s">
        <v>47</v>
      </c>
      <c r="AD47" s="6" t="s">
        <v>33</v>
      </c>
      <c r="AE47" s="7" t="s">
        <v>33</v>
      </c>
      <c r="AF47" s="6" t="s">
        <v>47</v>
      </c>
      <c r="AG47" s="6" t="s">
        <v>47</v>
      </c>
      <c r="AH47" s="6" t="s">
        <v>47</v>
      </c>
      <c r="AI47" s="6"/>
      <c r="AJ47" s="6" t="s">
        <v>107</v>
      </c>
      <c r="AK47" s="6"/>
      <c r="AL47" s="6" t="s">
        <v>485</v>
      </c>
      <c r="AM47" s="8">
        <v>46156</v>
      </c>
      <c r="AN47" s="6" t="s">
        <v>223</v>
      </c>
      <c r="AO47" s="6" t="s">
        <v>224</v>
      </c>
      <c r="AP47" s="6" t="s">
        <v>7</v>
      </c>
    </row>
    <row r="48" spans="1:42" ht="39.6" hidden="1" customHeight="1">
      <c r="A48" s="10" t="s">
        <v>213</v>
      </c>
      <c r="B48" s="6" t="s">
        <v>11</v>
      </c>
      <c r="C48" s="6" t="s">
        <v>229</v>
      </c>
      <c r="D48" s="6" t="s">
        <v>230</v>
      </c>
      <c r="E48" s="4" t="s">
        <v>231</v>
      </c>
      <c r="F48" s="6" t="s">
        <v>518</v>
      </c>
      <c r="G48" s="6" t="s">
        <v>175</v>
      </c>
      <c r="H48" s="6" t="s">
        <v>121</v>
      </c>
      <c r="I48" s="15" t="s">
        <v>232</v>
      </c>
      <c r="J48" s="15">
        <v>1</v>
      </c>
      <c r="K48" s="15">
        <v>30</v>
      </c>
      <c r="L48" s="15">
        <v>30</v>
      </c>
      <c r="M48" s="6">
        <v>30</v>
      </c>
      <c r="N48" s="15" t="s">
        <v>33</v>
      </c>
      <c r="O48" s="15"/>
      <c r="P48" s="15"/>
      <c r="Q48" s="15"/>
      <c r="R48" s="15" t="s">
        <v>100</v>
      </c>
      <c r="S48" s="15"/>
      <c r="T48" s="6"/>
      <c r="U48" s="6" t="s">
        <v>122</v>
      </c>
      <c r="V48" s="6" t="s">
        <v>123</v>
      </c>
      <c r="W48" s="6" t="s">
        <v>103</v>
      </c>
      <c r="X48" s="6" t="s">
        <v>7</v>
      </c>
      <c r="Y48" s="6" t="s">
        <v>222</v>
      </c>
      <c r="Z48" s="6" t="s">
        <v>105</v>
      </c>
      <c r="AA48" s="6" t="s">
        <v>150</v>
      </c>
      <c r="AB48" s="6" t="s">
        <v>7</v>
      </c>
      <c r="AC48" s="6" t="s">
        <v>47</v>
      </c>
      <c r="AD48" s="6" t="s">
        <v>33</v>
      </c>
      <c r="AE48" s="7" t="s">
        <v>33</v>
      </c>
      <c r="AF48" s="6" t="s">
        <v>47</v>
      </c>
      <c r="AG48" s="6" t="s">
        <v>47</v>
      </c>
      <c r="AH48" s="6" t="s">
        <v>47</v>
      </c>
      <c r="AI48" s="6">
        <v>299</v>
      </c>
      <c r="AJ48" s="6" t="s">
        <v>107</v>
      </c>
      <c r="AK48" s="6"/>
      <c r="AL48" s="6" t="s">
        <v>227</v>
      </c>
      <c r="AM48" s="8">
        <v>46156</v>
      </c>
      <c r="AN48" s="6" t="s">
        <v>233</v>
      </c>
      <c r="AO48" s="6" t="s">
        <v>234</v>
      </c>
      <c r="AP48" s="6" t="s">
        <v>9</v>
      </c>
    </row>
    <row r="49" spans="1:42" ht="31.2" hidden="1" customHeight="1">
      <c r="A49" s="10" t="s">
        <v>334</v>
      </c>
      <c r="B49" s="6" t="s">
        <v>15</v>
      </c>
      <c r="C49" s="6" t="s">
        <v>577</v>
      </c>
      <c r="D49" s="6" t="s">
        <v>578</v>
      </c>
      <c r="E49" s="14" t="s">
        <v>579</v>
      </c>
      <c r="F49" s="6" t="s">
        <v>549</v>
      </c>
      <c r="G49" s="6" t="s">
        <v>140</v>
      </c>
      <c r="H49" s="6" t="s">
        <v>132</v>
      </c>
      <c r="I49" s="6"/>
      <c r="J49" s="6">
        <v>1</v>
      </c>
      <c r="K49" s="6">
        <v>24</v>
      </c>
      <c r="L49" s="6">
        <v>35</v>
      </c>
      <c r="M49" s="6">
        <v>17</v>
      </c>
      <c r="N49" s="6" t="s">
        <v>33</v>
      </c>
      <c r="O49" s="6">
        <v>6</v>
      </c>
      <c r="P49" s="6">
        <v>1</v>
      </c>
      <c r="Q49" s="6">
        <v>6</v>
      </c>
      <c r="R49" s="6" t="s">
        <v>100</v>
      </c>
      <c r="S49" s="6">
        <f>SkuCatalogTable[[#This Row],[width_cm]]/SkuCatalogTable[[#This Row],[rows]]</f>
        <v>24</v>
      </c>
      <c r="T49" s="6">
        <v>5.8</v>
      </c>
      <c r="U49" s="6" t="s">
        <v>101</v>
      </c>
      <c r="V49" s="6" t="s">
        <v>102</v>
      </c>
      <c r="W49" s="6" t="s">
        <v>200</v>
      </c>
      <c r="X49" s="6" t="s">
        <v>7</v>
      </c>
      <c r="Y49" s="6" t="s">
        <v>580</v>
      </c>
      <c r="Z49" s="6" t="s">
        <v>143</v>
      </c>
      <c r="AA49" s="6" t="s">
        <v>126</v>
      </c>
      <c r="AB49" s="6" t="s">
        <v>7</v>
      </c>
      <c r="AC49" s="6" t="s">
        <v>47</v>
      </c>
      <c r="AD49" s="6" t="s">
        <v>33</v>
      </c>
      <c r="AE49" s="6" t="s">
        <v>47</v>
      </c>
      <c r="AF49" s="6" t="s">
        <v>47</v>
      </c>
      <c r="AG49" s="6" t="s">
        <v>47</v>
      </c>
      <c r="AH49" s="8" t="s">
        <v>47</v>
      </c>
      <c r="AI49" s="6">
        <v>601</v>
      </c>
      <c r="AJ49" s="6" t="s">
        <v>107</v>
      </c>
      <c r="AK49" s="6"/>
      <c r="AL49" s="6" t="s">
        <v>227</v>
      </c>
      <c r="AM49" s="8">
        <v>46157</v>
      </c>
      <c r="AN49" s="6"/>
      <c r="AO49" s="6"/>
      <c r="AP49" s="6"/>
    </row>
    <row r="50" spans="1:42" ht="26.4" hidden="1" customHeight="1">
      <c r="A50" s="7" t="s">
        <v>353</v>
      </c>
      <c r="B50" s="6" t="s">
        <v>15</v>
      </c>
      <c r="C50" s="6" t="s">
        <v>577</v>
      </c>
      <c r="D50" s="6" t="s">
        <v>578</v>
      </c>
      <c r="E50" s="4" t="s">
        <v>581</v>
      </c>
      <c r="F50" s="6" t="s">
        <v>549</v>
      </c>
      <c r="G50" s="6" t="s">
        <v>140</v>
      </c>
      <c r="H50" s="6" t="s">
        <v>132</v>
      </c>
      <c r="I50" s="6"/>
      <c r="J50" s="6">
        <v>1</v>
      </c>
      <c r="K50" s="6">
        <v>25</v>
      </c>
      <c r="L50" s="6">
        <v>44</v>
      </c>
      <c r="M50" s="6">
        <v>17</v>
      </c>
      <c r="N50" s="6" t="s">
        <v>33</v>
      </c>
      <c r="O50" s="6">
        <v>9</v>
      </c>
      <c r="P50" s="6">
        <v>1</v>
      </c>
      <c r="Q50" s="6">
        <v>6</v>
      </c>
      <c r="R50" s="6" t="s">
        <v>100</v>
      </c>
      <c r="S50" s="6">
        <f>SkuCatalogTable[[#This Row],[width_cm]]/SkuCatalogTable[[#This Row],[rows]]</f>
        <v>25</v>
      </c>
      <c r="T50" s="6">
        <v>4.8</v>
      </c>
      <c r="U50" s="6" t="s">
        <v>101</v>
      </c>
      <c r="V50" s="6" t="s">
        <v>102</v>
      </c>
      <c r="W50" s="6" t="s">
        <v>200</v>
      </c>
      <c r="X50" s="6" t="s">
        <v>7</v>
      </c>
      <c r="Y50" s="6" t="s">
        <v>580</v>
      </c>
      <c r="Z50" s="6" t="s">
        <v>143</v>
      </c>
      <c r="AA50" s="6" t="s">
        <v>126</v>
      </c>
      <c r="AB50" s="6" t="s">
        <v>7</v>
      </c>
      <c r="AC50" s="6" t="s">
        <v>47</v>
      </c>
      <c r="AD50" s="6" t="s">
        <v>33</v>
      </c>
      <c r="AE50" s="6" t="s">
        <v>47</v>
      </c>
      <c r="AF50" s="6" t="s">
        <v>47</v>
      </c>
      <c r="AG50" s="6" t="s">
        <v>47</v>
      </c>
      <c r="AH50" s="8" t="s">
        <v>47</v>
      </c>
      <c r="AI50" s="6">
        <v>601</v>
      </c>
      <c r="AJ50" s="6" t="s">
        <v>107</v>
      </c>
      <c r="AK50" s="6"/>
      <c r="AL50" s="6" t="s">
        <v>227</v>
      </c>
      <c r="AM50" s="8">
        <v>46157</v>
      </c>
      <c r="AN50" s="6"/>
      <c r="AO50" s="6"/>
      <c r="AP50" s="6"/>
    </row>
    <row r="51" spans="1:42" ht="41.4">
      <c r="A51" s="7" t="s">
        <v>354</v>
      </c>
      <c r="B51" s="6" t="s">
        <v>536</v>
      </c>
      <c r="C51" s="6" t="s">
        <v>584</v>
      </c>
      <c r="D51" s="6" t="s">
        <v>583</v>
      </c>
      <c r="E51" s="14" t="s">
        <v>582</v>
      </c>
      <c r="F51" s="6" t="s">
        <v>543</v>
      </c>
      <c r="G51" s="6" t="s">
        <v>140</v>
      </c>
      <c r="H51" s="6" t="s">
        <v>121</v>
      </c>
      <c r="I51" s="6"/>
      <c r="J51" s="6">
        <v>1</v>
      </c>
      <c r="K51" s="6">
        <v>16</v>
      </c>
      <c r="L51" s="6">
        <v>35</v>
      </c>
      <c r="M51" s="6">
        <v>10</v>
      </c>
      <c r="N51" s="6" t="s">
        <v>33</v>
      </c>
      <c r="O51" s="6">
        <v>6</v>
      </c>
      <c r="P51" s="6">
        <v>1</v>
      </c>
      <c r="Q51" s="6">
        <v>6</v>
      </c>
      <c r="R51" s="6" t="s">
        <v>395</v>
      </c>
      <c r="S51" s="6">
        <v>16</v>
      </c>
      <c r="T51" s="6">
        <v>5.8</v>
      </c>
      <c r="U51" s="6" t="s">
        <v>101</v>
      </c>
      <c r="V51" s="6" t="s">
        <v>102</v>
      </c>
      <c r="W51" s="6" t="s">
        <v>200</v>
      </c>
      <c r="X51" s="6" t="s">
        <v>7</v>
      </c>
      <c r="Y51" s="6" t="s">
        <v>585</v>
      </c>
      <c r="Z51" s="6" t="s">
        <v>143</v>
      </c>
      <c r="AA51" s="6" t="s">
        <v>126</v>
      </c>
      <c r="AB51" s="6" t="s">
        <v>9</v>
      </c>
      <c r="AC51" s="6" t="s">
        <v>47</v>
      </c>
      <c r="AD51" s="6" t="s">
        <v>33</v>
      </c>
      <c r="AE51" s="6" t="s">
        <v>47</v>
      </c>
      <c r="AF51" s="6" t="s">
        <v>47</v>
      </c>
      <c r="AG51" s="6" t="s">
        <v>47</v>
      </c>
      <c r="AH51" s="6" t="s">
        <v>47</v>
      </c>
      <c r="AI51" s="6">
        <v>1490</v>
      </c>
      <c r="AJ51" s="6" t="s">
        <v>107</v>
      </c>
      <c r="AK51" s="6">
        <v>50</v>
      </c>
      <c r="AL51" s="6" t="s">
        <v>227</v>
      </c>
      <c r="AM51" s="8">
        <v>46171</v>
      </c>
      <c r="AN51" s="6"/>
      <c r="AO51" s="6"/>
      <c r="AP51" s="6"/>
    </row>
    <row r="52" spans="1:42" ht="27.6">
      <c r="A52" s="7" t="s">
        <v>355</v>
      </c>
      <c r="B52" s="6" t="s">
        <v>536</v>
      </c>
      <c r="C52" s="6" t="s">
        <v>584</v>
      </c>
      <c r="D52" s="6" t="s">
        <v>586</v>
      </c>
      <c r="E52" s="4" t="s">
        <v>587</v>
      </c>
      <c r="F52" s="6" t="s">
        <v>592</v>
      </c>
      <c r="G52" s="6" t="s">
        <v>140</v>
      </c>
      <c r="H52" s="6" t="s">
        <v>121</v>
      </c>
      <c r="I52" s="6"/>
      <c r="J52" s="6">
        <v>1</v>
      </c>
      <c r="K52" s="6">
        <v>35</v>
      </c>
      <c r="L52" s="6">
        <v>35</v>
      </c>
      <c r="M52" s="6">
        <v>10</v>
      </c>
      <c r="N52" s="6" t="s">
        <v>33</v>
      </c>
      <c r="O52" s="6">
        <v>6</v>
      </c>
      <c r="P52" s="6">
        <v>1</v>
      </c>
      <c r="Q52" s="6">
        <v>6</v>
      </c>
      <c r="R52" s="6" t="s">
        <v>100</v>
      </c>
      <c r="S52" s="6">
        <v>35</v>
      </c>
      <c r="T52" s="6">
        <v>5.8</v>
      </c>
      <c r="U52" s="6" t="s">
        <v>272</v>
      </c>
      <c r="V52" s="6" t="s">
        <v>273</v>
      </c>
      <c r="W52" s="6" t="s">
        <v>103</v>
      </c>
      <c r="X52" s="6" t="s">
        <v>7</v>
      </c>
      <c r="Y52" s="6" t="s">
        <v>593</v>
      </c>
      <c r="Z52" s="6" t="s">
        <v>135</v>
      </c>
      <c r="AA52" s="6" t="s">
        <v>136</v>
      </c>
      <c r="AB52" s="6" t="s">
        <v>9</v>
      </c>
      <c r="AC52" s="6" t="s">
        <v>47</v>
      </c>
      <c r="AD52" s="6" t="s">
        <v>33</v>
      </c>
      <c r="AE52" s="6" t="s">
        <v>47</v>
      </c>
      <c r="AF52" s="6" t="s">
        <v>47</v>
      </c>
      <c r="AG52" s="6" t="s">
        <v>47</v>
      </c>
      <c r="AH52" s="6" t="s">
        <v>47</v>
      </c>
      <c r="AI52" s="6">
        <v>2006</v>
      </c>
      <c r="AJ52" s="6" t="s">
        <v>107</v>
      </c>
      <c r="AK52" s="6">
        <v>68</v>
      </c>
      <c r="AL52" s="6" t="s">
        <v>227</v>
      </c>
      <c r="AM52" s="6"/>
      <c r="AN52" s="6"/>
      <c r="AO52" s="6"/>
      <c r="AP52" s="6"/>
    </row>
    <row r="53" spans="1:42" ht="27.6" hidden="1">
      <c r="A53" s="7" t="s">
        <v>356</v>
      </c>
      <c r="B53" s="6"/>
      <c r="C53" s="6"/>
      <c r="D53" s="6" t="s">
        <v>588</v>
      </c>
      <c r="E53" s="4" t="s">
        <v>589</v>
      </c>
      <c r="F53" s="6" t="s">
        <v>561</v>
      </c>
      <c r="G53" s="6">
        <v>2</v>
      </c>
      <c r="H53" s="6" t="s">
        <v>121</v>
      </c>
      <c r="I53" s="6"/>
      <c r="J53" s="6">
        <v>2</v>
      </c>
      <c r="K53" s="6">
        <v>15</v>
      </c>
      <c r="L53" s="6">
        <v>32</v>
      </c>
      <c r="M53" s="6">
        <v>10</v>
      </c>
      <c r="N53" s="6" t="s">
        <v>33</v>
      </c>
      <c r="O53" s="6">
        <v>6</v>
      </c>
      <c r="P53" s="6">
        <v>1</v>
      </c>
      <c r="Q53" s="6">
        <v>6</v>
      </c>
      <c r="R53" s="6" t="s">
        <v>100</v>
      </c>
      <c r="S53" s="6">
        <v>15</v>
      </c>
      <c r="T53" s="6">
        <v>5.3</v>
      </c>
      <c r="U53" s="6" t="s">
        <v>122</v>
      </c>
      <c r="V53" s="6" t="s">
        <v>123</v>
      </c>
      <c r="W53" s="6" t="s">
        <v>103</v>
      </c>
      <c r="X53" s="6" t="s">
        <v>7</v>
      </c>
      <c r="Y53" s="6" t="s">
        <v>590</v>
      </c>
      <c r="Z53" s="6" t="s">
        <v>143</v>
      </c>
      <c r="AA53" s="6" t="s">
        <v>106</v>
      </c>
      <c r="AB53" s="6" t="s">
        <v>9</v>
      </c>
      <c r="AC53" s="6" t="s">
        <v>47</v>
      </c>
      <c r="AD53" s="6" t="s">
        <v>33</v>
      </c>
      <c r="AE53" s="6" t="s">
        <v>47</v>
      </c>
      <c r="AF53" s="6" t="s">
        <v>47</v>
      </c>
      <c r="AG53" s="6" t="s">
        <v>47</v>
      </c>
      <c r="AH53" s="6" t="s">
        <v>47</v>
      </c>
      <c r="AI53" s="6">
        <v>1462</v>
      </c>
      <c r="AJ53" s="6" t="s">
        <v>107</v>
      </c>
      <c r="AK53" s="6">
        <v>112</v>
      </c>
      <c r="AL53" s="6" t="s">
        <v>227</v>
      </c>
      <c r="AM53" s="6"/>
      <c r="AN53" s="6"/>
      <c r="AO53" s="6"/>
      <c r="AP53" s="6"/>
    </row>
    <row r="54" spans="1:42" hidden="1">
      <c r="A54" s="7" t="s">
        <v>357</v>
      </c>
      <c r="B54" s="6"/>
      <c r="C54" s="6"/>
      <c r="D54" s="6"/>
      <c r="E54" s="1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hidden="1">
      <c r="A55" s="7" t="s">
        <v>358</v>
      </c>
      <c r="B55" s="6"/>
      <c r="C55" s="6"/>
      <c r="D55" s="6"/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hidden="1">
      <c r="A56" s="7" t="s">
        <v>359</v>
      </c>
      <c r="B56" s="6"/>
      <c r="C56" s="6"/>
      <c r="D56" s="6"/>
      <c r="E56" s="1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hidden="1">
      <c r="A57" s="7" t="s">
        <v>360</v>
      </c>
      <c r="B57" s="6"/>
      <c r="C57" s="6"/>
      <c r="D57" s="6"/>
      <c r="E57" s="1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hidden="1">
      <c r="A58" s="7" t="s">
        <v>361</v>
      </c>
      <c r="B58" s="6"/>
      <c r="C58" s="6"/>
      <c r="D58" s="6"/>
      <c r="E58" s="1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hidden="1">
      <c r="A59" s="7" t="s">
        <v>363</v>
      </c>
      <c r="B59" s="6"/>
      <c r="C59" s="6"/>
      <c r="D59" s="6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hidden="1">
      <c r="A60" s="7" t="s">
        <v>364</v>
      </c>
      <c r="B60" s="6"/>
      <c r="C60" s="6"/>
      <c r="D60" s="6"/>
      <c r="E60" s="1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 hidden="1">
      <c r="A61" s="7" t="s">
        <v>365</v>
      </c>
      <c r="B61" s="6"/>
      <c r="C61" s="6"/>
      <c r="D61" s="6"/>
      <c r="E61" s="1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hidden="1">
      <c r="A62" s="7" t="s">
        <v>366</v>
      </c>
      <c r="B62" s="6"/>
      <c r="C62" s="6"/>
      <c r="D62" s="6"/>
      <c r="E62" s="1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spans="1:42" hidden="1">
      <c r="A63" s="7" t="s">
        <v>367</v>
      </c>
      <c r="B63" s="6"/>
      <c r="C63" s="6"/>
      <c r="D63" s="6"/>
      <c r="E63" s="1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spans="1:42" hidden="1">
      <c r="A64" s="7" t="s">
        <v>369</v>
      </c>
      <c r="B64" s="6"/>
      <c r="C64" s="6"/>
      <c r="D64" s="6"/>
      <c r="E64" s="1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1:42" hidden="1">
      <c r="A65" s="7" t="s">
        <v>370</v>
      </c>
      <c r="B65" s="6"/>
      <c r="C65" s="6"/>
      <c r="D65" s="6"/>
      <c r="E65" s="1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spans="1:42" hidden="1">
      <c r="A66" s="7" t="s">
        <v>371</v>
      </c>
      <c r="B66" s="6"/>
      <c r="C66" s="6"/>
      <c r="D66" s="6"/>
      <c r="E66" s="1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spans="1:42" hidden="1">
      <c r="A67" s="7" t="s">
        <v>372</v>
      </c>
      <c r="B67" s="6"/>
      <c r="C67" s="6"/>
      <c r="D67" s="6"/>
      <c r="E67" s="1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42" hidden="1">
      <c r="A68" s="7" t="s">
        <v>374</v>
      </c>
      <c r="B68" s="6"/>
      <c r="C68" s="6"/>
      <c r="D68" s="6"/>
      <c r="E68" s="1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42" hidden="1">
      <c r="A69" s="7" t="s">
        <v>375</v>
      </c>
      <c r="B69" s="6"/>
      <c r="C69" s="6"/>
      <c r="D69" s="6"/>
      <c r="E69" s="1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42" hidden="1">
      <c r="A70" s="7" t="s">
        <v>376</v>
      </c>
      <c r="B70" s="6"/>
      <c r="C70" s="6"/>
      <c r="D70" s="6"/>
      <c r="E70" s="1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2" hidden="1">
      <c r="A71" s="7" t="s">
        <v>377</v>
      </c>
      <c r="B71" s="6"/>
      <c r="C71" s="6"/>
      <c r="D71" s="6"/>
      <c r="E71" s="1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spans="1:42" hidden="1">
      <c r="A72" s="7" t="s">
        <v>378</v>
      </c>
      <c r="B72" s="6"/>
      <c r="C72" s="6"/>
      <c r="D72" s="6"/>
      <c r="E72" s="1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 hidden="1">
      <c r="A73" s="7" t="s">
        <v>379</v>
      </c>
      <c r="B73" s="6"/>
      <c r="C73" s="6"/>
      <c r="D73" s="6"/>
      <c r="E73" s="1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 hidden="1">
      <c r="A74" s="7" t="s">
        <v>380</v>
      </c>
      <c r="B74" s="6"/>
      <c r="C74" s="6"/>
      <c r="D74" s="6"/>
      <c r="E74" s="1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 hidden="1">
      <c r="A75" s="7" t="s">
        <v>381</v>
      </c>
      <c r="B75" s="6"/>
      <c r="C75" s="6"/>
      <c r="D75" s="6"/>
      <c r="E75" s="1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hidden="1">
      <c r="A76" s="7" t="s">
        <v>382</v>
      </c>
      <c r="B76" s="6"/>
      <c r="C76" s="6"/>
      <c r="D76" s="6"/>
      <c r="E76" s="1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hidden="1">
      <c r="A77" s="7" t="s">
        <v>383</v>
      </c>
      <c r="B77" s="6"/>
      <c r="C77" s="6"/>
      <c r="D77" s="6"/>
      <c r="E77" s="1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 hidden="1">
      <c r="A78" s="7" t="s">
        <v>384</v>
      </c>
      <c r="B78" s="6"/>
      <c r="C78" s="6"/>
      <c r="D78" s="6"/>
      <c r="E78" s="1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 hidden="1">
      <c r="A79" s="7" t="s">
        <v>385</v>
      </c>
      <c r="B79" s="6"/>
      <c r="C79" s="6"/>
      <c r="D79" s="6"/>
      <c r="E79" s="1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hidden="1">
      <c r="A80" s="7" t="s">
        <v>387</v>
      </c>
      <c r="B80" s="6"/>
      <c r="C80" s="6"/>
      <c r="D80" s="6"/>
      <c r="E80" s="1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hidden="1">
      <c r="A81" s="7" t="s">
        <v>389</v>
      </c>
      <c r="B81" s="6"/>
      <c r="C81" s="6"/>
      <c r="D81" s="6"/>
      <c r="E81" s="1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hidden="1">
      <c r="A82" s="7" t="s">
        <v>390</v>
      </c>
      <c r="B82" s="6"/>
      <c r="C82" s="6"/>
      <c r="D82" s="6"/>
      <c r="E82" s="1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 hidden="1">
      <c r="A83" s="7" t="s">
        <v>391</v>
      </c>
      <c r="B83" s="6"/>
      <c r="C83" s="6"/>
      <c r="D83" s="6"/>
      <c r="E83" s="1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42" hidden="1">
      <c r="A84" s="7" t="s">
        <v>392</v>
      </c>
      <c r="B84" s="6"/>
      <c r="C84" s="6"/>
      <c r="D84" s="6"/>
      <c r="E84" s="1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hidden="1">
      <c r="A85" s="7" t="s">
        <v>397</v>
      </c>
      <c r="B85" s="6"/>
      <c r="C85" s="6"/>
      <c r="D85" s="6"/>
      <c r="E85" s="1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42" hidden="1">
      <c r="A86" s="7" t="s">
        <v>398</v>
      </c>
      <c r="B86" s="6"/>
      <c r="C86" s="6"/>
      <c r="D86" s="6"/>
      <c r="E86" s="1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 hidden="1">
      <c r="A87" s="7" t="s">
        <v>408</v>
      </c>
      <c r="B87" s="6"/>
      <c r="C87" s="6"/>
      <c r="D87" s="6"/>
      <c r="E87" s="1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1:42" hidden="1">
      <c r="A88" s="6"/>
      <c r="B88" s="6"/>
      <c r="C88" s="6"/>
      <c r="D88" s="6"/>
      <c r="E88" s="1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42" hidden="1">
      <c r="A89" s="6"/>
      <c r="B89" s="6"/>
      <c r="C89" s="6"/>
      <c r="D89" s="6"/>
      <c r="E89" s="1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1:42" hidden="1">
      <c r="A90" s="6"/>
      <c r="B90" s="6"/>
      <c r="C90" s="6"/>
      <c r="D90" s="6"/>
      <c r="E90" s="1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 hidden="1">
      <c r="A91" s="6"/>
      <c r="B91" s="6"/>
      <c r="C91" s="6"/>
      <c r="D91" s="6"/>
      <c r="E91" s="1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spans="1:42" hidden="1">
      <c r="A92" s="6"/>
      <c r="B92" s="6"/>
      <c r="C92" s="6"/>
      <c r="D92" s="6"/>
      <c r="E92" s="1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</sheetData>
  <phoneticPr fontId="4" type="noConversion"/>
  <conditionalFormatting sqref="AG2:AG92">
    <cfRule type="expression" dxfId="6" priority="8">
      <formula>AG2="unknown"</formula>
    </cfRule>
    <cfRule type="expression" dxfId="5" priority="9">
      <formula>AG2="out_of_stock"</formula>
    </cfRule>
  </conditionalFormatting>
  <conditionalFormatting sqref="AL2:AL92">
    <cfRule type="expression" dxfId="4" priority="6">
      <formula>AL2="low"</formula>
    </cfRule>
    <cfRule type="expression" dxfId="3" priority="7">
      <formula>AL2="medium"</formula>
    </cfRule>
  </conditionalFormatting>
  <conditionalFormatting sqref="AP2:AP92">
    <cfRule type="expression" dxfId="2" priority="10">
      <formula>AP2="low"</formula>
    </cfRule>
  </conditionalFormatting>
  <dataValidations disablePrompts="1" count="10">
    <dataValidation type="list" sqref="M2:N9 L93:L212 X93:AC212 Y2:AH35 AE36:AH46 N10:N46 M10:M92 Y36:AD92" xr:uid="{00000000-0002-0000-0000-000002000000}">
      <formula1>"yes,no,unknown"</formula1>
    </dataValidation>
    <dataValidation type="list" sqref="AJ93:AJ212 V93:V212 W2:X32 AP2:AP46 AB2:AB46 X33:X46 AL2:AL92 W33:W92" xr:uid="{00000000-0002-0000-0000-000006000000}">
      <formula1>"high,medium,low"</formula1>
    </dataValidation>
    <dataValidation type="list" sqref="P93:P212 Q2:R92" xr:uid="{00000000-0002-0000-0000-000003000000}">
      <formula1>"declared_by_seller,counted_from_photo,estimated_from_dimensions,unknown"</formula1>
    </dataValidation>
    <dataValidation type="list" sqref="T93:T212 V2:V46 U2:U92" xr:uid="{00000000-0002-0000-0000-000004000000}">
      <formula1>"white,beige,grey,black,brown,transparent,pink,blue,green,yellow,red,purple,mixed,other,unknown"</formula1>
    </dataValidation>
    <dataValidation type="list" sqref="U93:U212 W2:W46 V2:V92" xr:uid="{00000000-0002-0000-0000-000005000000}">
      <formula1>"neutral_light,neutral_dark,transparent,color,mixed,unknown"</formula1>
    </dataValidation>
    <dataValidation type="list" sqref="AF93:AF212 AM2:AM50 AG2:AG92" xr:uid="{00000000-0002-0000-0000-000007000000}">
      <formula1>"available,out_of_stock,unknown"</formula1>
    </dataValidation>
    <dataValidation type="list" sqref="G2:G46 F2:F212" xr:uid="{00000000-0002-0000-0000-000000000000}">
      <formula1>"cells,slots,open,dividers"</formula1>
    </dataValidation>
    <dataValidation type="list" sqref="H2:H46 G2:G212" xr:uid="{00000000-0002-0000-0000-000001000000}">
      <formula1>"soft,semi_rigid,rigid"</formula1>
    </dataValidation>
    <dataValidation type="list" sqref="Z2:Z46" xr:uid="{00000000-0002-0000-0000-000010000000}">
      <formula1>"nonwoven,textile,oxford,polyester,polypropylene,plastic,abs_plastic,pvc,cardboard,metal,wood,faux_leather,mixed,other,unknown"</formula1>
    </dataValidation>
    <dataValidation type="list" sqref="AA2:AA46" xr:uid="{00000000-0002-0000-0000-000011000000}">
      <formula1>"textile_based,textile_cardboard_composite,textile_plastic_composite,plastic_based,cardboard_based,metal_based,metal_plastic_composite,wood_based,faux_leather,mixed,other,unknown"</formula1>
    </dataValidation>
  </dataValidations>
  <hyperlinks>
    <hyperlink ref="E8" r:id="rId1" xr:uid="{97205818-43D3-4109-9E57-7361B857D4F9}"/>
    <hyperlink ref="E9" r:id="rId2" display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xr:uid="{33B5F9F6-E6BC-43A6-96C8-DDDF52BCD00F}"/>
    <hyperlink ref="E13" r:id="rId3" xr:uid="{62B8D554-60E7-461C-BCAF-EAB66C31D132}"/>
    <hyperlink ref="E44" r:id="rId4" display="https://market.yandex.ru/product--organaizer-dlia-khraneniia-belia-7-otdelenii-34-30-5-10-sm-tsvet-seryi/883484487?sku=103633726428&amp;uniqueId=176385143" xr:uid="{BE225F3D-7A0A-41C1-99A0-06FC189B933C}"/>
    <hyperlink ref="E38" r:id="rId5" xr:uid="{B8922B61-2BF3-4E37-BF62-71B66FE4893A}"/>
    <hyperlink ref="E45" r:id="rId6" xr:uid="{47FA1488-D63B-47C5-88C8-4CEA073E5E41}"/>
    <hyperlink ref="E29" r:id="rId7" xr:uid="{E22ACF50-A271-463E-B384-D4A96C13EB5B}"/>
    <hyperlink ref="E6" r:id="rId8" xr:uid="{82218B65-B587-497F-8C9E-9731F828A705}"/>
    <hyperlink ref="E5" r:id="rId9" xr:uid="{9D23AC01-1B19-44CF-8071-A9E7A438B5A2}"/>
    <hyperlink ref="E4" r:id="rId10" xr:uid="{2DB3EFCB-F4F4-45BD-A4AB-91A6253754B2}"/>
    <hyperlink ref="E7" r:id="rId11" xr:uid="{B4384F3A-A9F1-4511-908F-F8B1930C2F48}"/>
    <hyperlink ref="E46" r:id="rId12" xr:uid="{A7EBD7FB-E07B-4B56-8989-7BE0472870ED}"/>
    <hyperlink ref="E3" r:id="rId13" display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xr:uid="{53ED9E32-26D5-4882-A55B-DE0FCC708862}"/>
    <hyperlink ref="E47" r:id="rId14" xr:uid="{E26B6483-B38B-4DBC-9CA3-53F9A474F82B}"/>
    <hyperlink ref="E48" r:id="rId15" xr:uid="{EA269F4F-A8F3-416D-BE57-03834EB3BD77}"/>
    <hyperlink ref="E34" r:id="rId16" xr:uid="{A1E883AD-8A59-495A-B6DF-7B9BC6BAAAA2}"/>
    <hyperlink ref="E24" r:id="rId17" xr:uid="{5755CFF2-0EB0-453F-8F71-E4084E68801F}"/>
    <hyperlink ref="E14" r:id="rId18" xr:uid="{441051E9-40B6-447C-80D3-90B825660CBD}"/>
    <hyperlink ref="E15" r:id="rId19" xr:uid="{1374F9E0-FCBA-4E68-ACC3-C3F849585E92}"/>
    <hyperlink ref="E16" r:id="rId20" xr:uid="{F36EAEA4-6E28-4F28-8900-5B98AE54096C}"/>
    <hyperlink ref="E43" r:id="rId21" xr:uid="{A7D87526-3A78-44FA-9A61-941309C13940}"/>
    <hyperlink ref="E19" r:id="rId22" xr:uid="{F7C06E25-267F-435A-9E03-0040D3BFB701}"/>
    <hyperlink ref="E20" r:id="rId23" xr:uid="{C5851B9E-1C6C-41BD-B69A-A0B8E9FEF34A}"/>
    <hyperlink ref="E27" r:id="rId24" xr:uid="{4A90CAC8-9D37-4D36-AC65-72E56B455A41}"/>
    <hyperlink ref="E12" r:id="rId25" xr:uid="{B324E5B8-A8DF-4F92-A3FF-F8C6D3AF234F}"/>
    <hyperlink ref="E28" r:id="rId26" xr:uid="{7CE19308-533E-4D03-BA8F-758917373BD7}"/>
    <hyperlink ref="E41" r:id="rId27" xr:uid="{1AFF0254-C7BD-41AA-947B-5818480BD00D}"/>
    <hyperlink ref="E33" r:id="rId28" xr:uid="{A2436993-589B-471B-8399-D7BD47214EF4}"/>
    <hyperlink ref="E39" r:id="rId29" xr:uid="{CCBBD62E-0ABD-4BFB-A7AB-F3A6EB9C6EF0}"/>
    <hyperlink ref="E36" r:id="rId30" xr:uid="{89E8F338-5294-4043-ACC5-AD933990DA08}"/>
    <hyperlink ref="E37" r:id="rId31" xr:uid="{04079467-0809-428F-8F79-13ABBF9AB506}"/>
    <hyperlink ref="E35" r:id="rId32" display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xr:uid="{BD7032F1-3B74-45D9-8E6C-27136EB8F976}"/>
    <hyperlink ref="E50" r:id="rId33" xr:uid="{8C550849-18E4-4773-B4A6-E8E881A1BCCD}"/>
    <hyperlink ref="E52" r:id="rId34" xr:uid="{D59793D4-16DA-4F06-AD55-129670AB90AD}"/>
    <hyperlink ref="E53" r:id="rId35" xr:uid="{5554EB2A-D79D-4A1D-A2CA-49295E6209D7}"/>
    <hyperlink ref="E42" r:id="rId36" display="https://market.yandex.ru/product--organaizer-dlia-khraneniia-belia-zigzag-7-iacheek-32x32x12-sm-tsvet-seryi/17424439?sku=102477030111&amp;uniqueId=779271" xr:uid="{CF21468D-56AB-4052-9439-1D4DC37F8BF4}"/>
    <hyperlink ref="E11" r:id="rId37" xr:uid="{4C94780B-DE93-4AFE-9999-E9FD4066E0C7}"/>
    <hyperlink ref="E10" r:id="rId38" display="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" xr:uid="{4387C3FE-A196-4E0C-8B6B-13F82D35CCE1}"/>
    <hyperlink ref="E18" r:id="rId39" xr:uid="{D9F7F87B-4F93-4872-830B-4E70475603C4}"/>
    <hyperlink ref="E26" r:id="rId40" xr:uid="{8D482EB7-A99B-4CED-93DF-00AA9702B982}"/>
  </hyperlinks>
  <pageMargins left="0.7" right="0.7" top="0.75" bottom="0.75" header="0.3" footer="0.3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42" customWidth="1"/>
    <col min="2" max="2" width="18" customWidth="1"/>
    <col min="3" max="3" width="48" customWidth="1"/>
    <col min="4" max="4" width="28" customWidth="1"/>
    <col min="5" max="5" width="56" customWidth="1"/>
  </cols>
  <sheetData>
    <row r="1" spans="1:5">
      <c r="A1" s="13" t="s">
        <v>53</v>
      </c>
      <c r="B1" s="13" t="s">
        <v>0</v>
      </c>
      <c r="C1" s="13" t="s">
        <v>54</v>
      </c>
      <c r="D1" s="13" t="s">
        <v>410</v>
      </c>
      <c r="E1" s="13" t="s">
        <v>31</v>
      </c>
    </row>
    <row r="2" spans="1:5" ht="24.6" customHeight="1">
      <c r="A2" s="5" t="s">
        <v>411</v>
      </c>
      <c r="B2" s="5" t="s">
        <v>13</v>
      </c>
      <c r="C2" s="5" t="s">
        <v>412</v>
      </c>
      <c r="D2" s="5" t="s">
        <v>413</v>
      </c>
      <c r="E2" s="5" t="s">
        <v>414</v>
      </c>
    </row>
    <row r="3" spans="1:5" ht="24.6" customHeight="1">
      <c r="A3" s="5" t="s">
        <v>415</v>
      </c>
      <c r="B3" s="5" t="s">
        <v>13</v>
      </c>
      <c r="C3" s="5" t="s">
        <v>416</v>
      </c>
      <c r="D3" s="5" t="s">
        <v>413</v>
      </c>
      <c r="E3" s="5" t="s">
        <v>417</v>
      </c>
    </row>
    <row r="4" spans="1:5" ht="24.6" customHeight="1">
      <c r="A4" s="5" t="s">
        <v>418</v>
      </c>
      <c r="B4" s="5" t="s">
        <v>13</v>
      </c>
      <c r="C4" s="5" t="s">
        <v>419</v>
      </c>
      <c r="D4" s="5" t="s">
        <v>420</v>
      </c>
      <c r="E4" s="5" t="s">
        <v>421</v>
      </c>
    </row>
    <row r="5" spans="1:5" ht="24.6" customHeight="1">
      <c r="A5" s="5" t="s">
        <v>422</v>
      </c>
      <c r="B5" s="5" t="s">
        <v>11</v>
      </c>
      <c r="C5" s="5" t="s">
        <v>423</v>
      </c>
      <c r="D5" s="5" t="s">
        <v>424</v>
      </c>
      <c r="E5" s="5" t="s">
        <v>425</v>
      </c>
    </row>
    <row r="6" spans="1:5" ht="24.6" customHeight="1">
      <c r="A6" s="5" t="s">
        <v>426</v>
      </c>
      <c r="B6" s="5" t="s">
        <v>11</v>
      </c>
      <c r="C6" s="5" t="s">
        <v>427</v>
      </c>
      <c r="D6" s="5" t="s">
        <v>424</v>
      </c>
      <c r="E6" s="5" t="s">
        <v>428</v>
      </c>
    </row>
    <row r="7" spans="1:5" ht="24.6" customHeight="1">
      <c r="A7" s="5" t="s">
        <v>429</v>
      </c>
      <c r="B7" s="5" t="s">
        <v>11</v>
      </c>
      <c r="C7" s="5" t="s">
        <v>430</v>
      </c>
      <c r="D7" s="5" t="s">
        <v>424</v>
      </c>
      <c r="E7" s="5" t="s">
        <v>431</v>
      </c>
    </row>
    <row r="8" spans="1:5" ht="24.6" customHeight="1">
      <c r="A8" s="5" t="s">
        <v>432</v>
      </c>
      <c r="B8" s="5" t="s">
        <v>15</v>
      </c>
      <c r="C8" s="5" t="s">
        <v>433</v>
      </c>
      <c r="D8" s="5" t="s">
        <v>434</v>
      </c>
      <c r="E8" s="5" t="s">
        <v>435</v>
      </c>
    </row>
    <row r="9" spans="1:5" ht="24.6" customHeight="1">
      <c r="A9" s="5" t="s">
        <v>436</v>
      </c>
      <c r="B9" s="5" t="s">
        <v>15</v>
      </c>
      <c r="C9" s="5" t="s">
        <v>351</v>
      </c>
      <c r="D9" s="5" t="s">
        <v>413</v>
      </c>
      <c r="E9" s="5" t="s">
        <v>437</v>
      </c>
    </row>
    <row r="10" spans="1:5" ht="24.6" customHeight="1">
      <c r="A10" s="5" t="s">
        <v>438</v>
      </c>
      <c r="B10" s="5" t="s">
        <v>15</v>
      </c>
      <c r="C10" s="5" t="s">
        <v>439</v>
      </c>
      <c r="D10" s="5" t="s">
        <v>413</v>
      </c>
      <c r="E10" s="5" t="s">
        <v>440</v>
      </c>
    </row>
    <row r="11" spans="1:5" ht="24.6" customHeight="1">
      <c r="A11" s="5" t="s">
        <v>441</v>
      </c>
      <c r="B11" s="5" t="s">
        <v>19</v>
      </c>
      <c r="C11" s="5" t="s">
        <v>442</v>
      </c>
      <c r="D11" s="5" t="s">
        <v>420</v>
      </c>
      <c r="E11" s="5" t="s">
        <v>443</v>
      </c>
    </row>
    <row r="12" spans="1:5" ht="24.6" customHeight="1">
      <c r="A12" s="5" t="s">
        <v>444</v>
      </c>
      <c r="B12" s="5" t="s">
        <v>19</v>
      </c>
      <c r="C12" s="5" t="s">
        <v>445</v>
      </c>
      <c r="D12" s="5" t="s">
        <v>434</v>
      </c>
      <c r="E12" s="5" t="s">
        <v>446</v>
      </c>
    </row>
    <row r="13" spans="1:5" ht="24.6" customHeight="1">
      <c r="A13" s="5" t="s">
        <v>447</v>
      </c>
      <c r="B13" s="5" t="s">
        <v>15</v>
      </c>
      <c r="C13" s="5" t="s">
        <v>448</v>
      </c>
      <c r="D13" s="5" t="s">
        <v>434</v>
      </c>
      <c r="E13" s="5" t="s">
        <v>449</v>
      </c>
    </row>
    <row r="14" spans="1:5" ht="24.6" customHeight="1">
      <c r="A14" s="5" t="s">
        <v>450</v>
      </c>
      <c r="B14" s="5" t="s">
        <v>23</v>
      </c>
      <c r="C14" s="5" t="s">
        <v>388</v>
      </c>
      <c r="D14" s="5" t="s">
        <v>451</v>
      </c>
      <c r="E14" s="5" t="s">
        <v>452</v>
      </c>
    </row>
    <row r="15" spans="1:5" ht="24.6" customHeight="1">
      <c r="A15" s="5" t="s">
        <v>453</v>
      </c>
      <c r="B15" s="5" t="s">
        <v>23</v>
      </c>
      <c r="C15" s="5" t="s">
        <v>454</v>
      </c>
      <c r="D15" s="5" t="s">
        <v>455</v>
      </c>
      <c r="E15" s="5" t="s">
        <v>456</v>
      </c>
    </row>
    <row r="16" spans="1:5" ht="24.6" customHeight="1">
      <c r="A16" s="5" t="s">
        <v>457</v>
      </c>
      <c r="B16" s="5" t="s">
        <v>23</v>
      </c>
      <c r="C16" s="5" t="s">
        <v>458</v>
      </c>
      <c r="D16" s="5" t="s">
        <v>455</v>
      </c>
      <c r="E16" s="5" t="s">
        <v>459</v>
      </c>
    </row>
    <row r="17" spans="1:5" ht="69">
      <c r="A17" s="5" t="s">
        <v>460</v>
      </c>
      <c r="B17" s="5" t="s">
        <v>6</v>
      </c>
      <c r="C17" s="5" t="s">
        <v>461</v>
      </c>
      <c r="D17" s="5" t="s">
        <v>462</v>
      </c>
      <c r="E17" s="5" t="s">
        <v>463</v>
      </c>
    </row>
    <row r="18" spans="1:5" ht="55.2">
      <c r="A18" s="5" t="s">
        <v>464</v>
      </c>
      <c r="B18" s="5" t="s">
        <v>11</v>
      </c>
      <c r="C18" s="5" t="s">
        <v>465</v>
      </c>
      <c r="D18" s="5" t="s">
        <v>462</v>
      </c>
      <c r="E18" s="5" t="s">
        <v>463</v>
      </c>
    </row>
    <row r="19" spans="1:5" ht="27.6">
      <c r="A19" s="5" t="s">
        <v>466</v>
      </c>
      <c r="B19" s="5" t="s">
        <v>11</v>
      </c>
      <c r="C19" s="5" t="s">
        <v>423</v>
      </c>
      <c r="D19" s="5" t="s">
        <v>462</v>
      </c>
      <c r="E19" s="5" t="s">
        <v>463</v>
      </c>
    </row>
    <row r="20" spans="1:5" ht="55.2">
      <c r="A20" s="5" t="s">
        <v>467</v>
      </c>
      <c r="B20" s="5" t="s">
        <v>23</v>
      </c>
      <c r="C20" s="5" t="s">
        <v>468</v>
      </c>
      <c r="D20" s="5" t="s">
        <v>462</v>
      </c>
      <c r="E20" s="5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3.8"/>
  <cols>
    <col min="1" max="5" width="18" customWidth="1"/>
    <col min="6" max="6" width="70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spans="1:6" ht="27.6">
      <c r="A3" s="1" t="s">
        <v>11</v>
      </c>
      <c r="B3" s="1" t="s">
        <v>9</v>
      </c>
      <c r="C3" s="1" t="s">
        <v>7</v>
      </c>
      <c r="D3" s="1" t="s">
        <v>7</v>
      </c>
      <c r="E3" s="1" t="s">
        <v>7</v>
      </c>
      <c r="F3" s="1" t="s">
        <v>12</v>
      </c>
    </row>
    <row r="4" spans="1:6" ht="27.6">
      <c r="A4" s="1" t="s">
        <v>13</v>
      </c>
      <c r="B4" s="1" t="s">
        <v>8</v>
      </c>
      <c r="C4" s="1" t="s">
        <v>7</v>
      </c>
      <c r="D4" s="1" t="s">
        <v>7</v>
      </c>
      <c r="E4" s="1" t="s">
        <v>8</v>
      </c>
      <c r="F4" s="1" t="s">
        <v>14</v>
      </c>
    </row>
    <row r="5" spans="1:6" ht="27.6">
      <c r="A5" s="1" t="s">
        <v>15</v>
      </c>
      <c r="B5" s="1" t="s">
        <v>16</v>
      </c>
      <c r="C5" s="1" t="s">
        <v>9</v>
      </c>
      <c r="D5" s="1" t="s">
        <v>9</v>
      </c>
      <c r="E5" s="1" t="s">
        <v>17</v>
      </c>
      <c r="F5" s="1" t="s">
        <v>18</v>
      </c>
    </row>
    <row r="6" spans="1:6" ht="27.6">
      <c r="A6" s="1" t="s">
        <v>19</v>
      </c>
      <c r="B6" s="1" t="s">
        <v>7</v>
      </c>
      <c r="C6" s="1" t="s">
        <v>17</v>
      </c>
      <c r="D6" s="1" t="s">
        <v>9</v>
      </c>
      <c r="E6" s="1" t="s">
        <v>17</v>
      </c>
      <c r="F6" s="1" t="s">
        <v>20</v>
      </c>
    </row>
    <row r="7" spans="1:6" ht="27.6">
      <c r="A7" s="1" t="s">
        <v>21</v>
      </c>
      <c r="B7" s="1" t="s">
        <v>8</v>
      </c>
      <c r="C7" s="1" t="s">
        <v>7</v>
      </c>
      <c r="D7" s="1" t="s">
        <v>9</v>
      </c>
      <c r="E7" s="1" t="s">
        <v>7</v>
      </c>
      <c r="F7" s="1" t="s">
        <v>22</v>
      </c>
    </row>
    <row r="8" spans="1:6" ht="27.6">
      <c r="A8" s="1" t="s">
        <v>23</v>
      </c>
      <c r="B8" s="1" t="s">
        <v>24</v>
      </c>
      <c r="C8" s="1" t="s">
        <v>8</v>
      </c>
      <c r="D8" s="1" t="s">
        <v>9</v>
      </c>
      <c r="E8" s="1" t="s">
        <v>9</v>
      </c>
      <c r="F8" s="1" t="s">
        <v>25</v>
      </c>
    </row>
    <row r="9" spans="1:6" ht="27.6">
      <c r="A9" s="1" t="s">
        <v>26</v>
      </c>
      <c r="B9" s="1" t="s">
        <v>7</v>
      </c>
      <c r="C9" s="1" t="s">
        <v>24</v>
      </c>
      <c r="D9" s="1" t="s">
        <v>9</v>
      </c>
      <c r="E9" s="1" t="s">
        <v>24</v>
      </c>
      <c r="F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8"/>
  <cols>
    <col min="1" max="1" width="18" customWidth="1"/>
    <col min="2" max="2" width="38" customWidth="1"/>
    <col min="3" max="4" width="22" customWidth="1"/>
    <col min="5" max="5" width="70" customWidth="1"/>
  </cols>
  <sheetData>
    <row r="1" spans="1:5" ht="27.6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ht="27.6">
      <c r="A2" s="1" t="s">
        <v>6</v>
      </c>
      <c r="B2" s="1" t="s">
        <v>32</v>
      </c>
      <c r="C2" s="1" t="s">
        <v>9</v>
      </c>
      <c r="D2" s="1" t="s">
        <v>33</v>
      </c>
      <c r="E2" s="1" t="s">
        <v>34</v>
      </c>
    </row>
    <row r="3" spans="1:5">
      <c r="A3" s="1" t="s">
        <v>11</v>
      </c>
      <c r="B3" s="1" t="s">
        <v>35</v>
      </c>
      <c r="C3" s="1" t="s">
        <v>24</v>
      </c>
      <c r="D3" s="1" t="s">
        <v>33</v>
      </c>
      <c r="E3" s="1" t="s">
        <v>36</v>
      </c>
    </row>
    <row r="4" spans="1:5" ht="27.6">
      <c r="A4" s="1" t="s">
        <v>13</v>
      </c>
      <c r="B4" s="1" t="s">
        <v>37</v>
      </c>
      <c r="C4" s="1" t="s">
        <v>9</v>
      </c>
      <c r="D4" s="1" t="s">
        <v>33</v>
      </c>
      <c r="E4" s="1" t="s">
        <v>38</v>
      </c>
    </row>
    <row r="5" spans="1:5" ht="27.6">
      <c r="A5" s="1" t="s">
        <v>15</v>
      </c>
      <c r="B5" s="1" t="s">
        <v>39</v>
      </c>
      <c r="C5" s="1" t="s">
        <v>8</v>
      </c>
      <c r="D5" s="1" t="s">
        <v>40</v>
      </c>
      <c r="E5" s="1" t="s">
        <v>41</v>
      </c>
    </row>
    <row r="6" spans="1:5" ht="27.6">
      <c r="A6" s="1" t="s">
        <v>19</v>
      </c>
      <c r="B6" s="1" t="s">
        <v>42</v>
      </c>
      <c r="C6" s="1" t="s">
        <v>8</v>
      </c>
      <c r="D6" s="1" t="s">
        <v>40</v>
      </c>
      <c r="E6" s="1" t="s">
        <v>43</v>
      </c>
    </row>
    <row r="7" spans="1:5" ht="27.6">
      <c r="A7" s="1" t="s">
        <v>21</v>
      </c>
      <c r="B7" s="1" t="s">
        <v>44</v>
      </c>
      <c r="C7" s="1" t="s">
        <v>9</v>
      </c>
      <c r="D7" s="1" t="s">
        <v>40</v>
      </c>
      <c r="E7" s="1" t="s">
        <v>45</v>
      </c>
    </row>
    <row r="8" spans="1:5">
      <c r="A8" s="1" t="s">
        <v>23</v>
      </c>
      <c r="B8" s="1" t="s">
        <v>46</v>
      </c>
      <c r="C8" s="1" t="s">
        <v>9</v>
      </c>
      <c r="D8" s="1" t="s">
        <v>47</v>
      </c>
      <c r="E8" s="1" t="s">
        <v>48</v>
      </c>
    </row>
    <row r="9" spans="1:5" ht="27.6">
      <c r="A9" s="1" t="s">
        <v>26</v>
      </c>
      <c r="B9" s="1" t="s">
        <v>49</v>
      </c>
      <c r="C9" s="1" t="s">
        <v>9</v>
      </c>
      <c r="D9" s="1" t="s">
        <v>47</v>
      </c>
      <c r="E9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>
      <selection activeCell="B13" sqref="B13"/>
    </sheetView>
  </sheetViews>
  <sheetFormatPr defaultRowHeight="13.8"/>
  <cols>
    <col min="1" max="2" width="30" customWidth="1"/>
    <col min="3" max="4" width="18" customWidth="1"/>
    <col min="5" max="5" width="28" customWidth="1"/>
    <col min="7" max="8" width="28" customWidth="1"/>
  </cols>
  <sheetData>
    <row r="1" spans="1:8" ht="27.6">
      <c r="A1" s="13" t="s">
        <v>469</v>
      </c>
      <c r="B1" s="13" t="s">
        <v>470</v>
      </c>
      <c r="C1" s="13" t="s">
        <v>471</v>
      </c>
      <c r="D1" s="13" t="s">
        <v>472</v>
      </c>
      <c r="E1" s="13" t="s">
        <v>31</v>
      </c>
      <c r="F1" s="13"/>
      <c r="G1" s="13" t="s">
        <v>473</v>
      </c>
      <c r="H1" s="13" t="s">
        <v>474</v>
      </c>
    </row>
    <row r="2" spans="1:8">
      <c r="A2" s="5" t="s">
        <v>57</v>
      </c>
      <c r="B2" s="5" t="s">
        <v>97</v>
      </c>
      <c r="C2" s="9">
        <v>42</v>
      </c>
      <c r="D2" s="9">
        <v>0</v>
      </c>
      <c r="E2" s="5" t="s">
        <v>475</v>
      </c>
      <c r="F2" s="5"/>
      <c r="G2" s="5" t="s">
        <v>476</v>
      </c>
      <c r="H2" s="5">
        <v>104</v>
      </c>
    </row>
    <row r="3" spans="1:8">
      <c r="A3" s="5" t="s">
        <v>57</v>
      </c>
      <c r="B3" s="5" t="s">
        <v>140</v>
      </c>
      <c r="C3" s="9">
        <v>28</v>
      </c>
      <c r="D3" s="9"/>
      <c r="E3" s="5" t="s">
        <v>475</v>
      </c>
      <c r="F3" s="5"/>
      <c r="G3" s="5" t="s">
        <v>477</v>
      </c>
      <c r="H3" s="5">
        <v>42</v>
      </c>
    </row>
    <row r="4" spans="1:8">
      <c r="A4" s="5" t="s">
        <v>57</v>
      </c>
      <c r="B4" s="5" t="s">
        <v>175</v>
      </c>
      <c r="C4" s="9">
        <v>24</v>
      </c>
      <c r="D4" s="9"/>
      <c r="E4" s="5" t="s">
        <v>475</v>
      </c>
      <c r="F4" s="5"/>
      <c r="G4" s="5" t="s">
        <v>478</v>
      </c>
      <c r="H4" s="5">
        <v>28</v>
      </c>
    </row>
    <row r="5" spans="1:8">
      <c r="A5" s="5" t="s">
        <v>57</v>
      </c>
      <c r="B5" s="5" t="s">
        <v>192</v>
      </c>
      <c r="C5" s="9">
        <v>10</v>
      </c>
      <c r="D5" s="9"/>
      <c r="E5" s="5" t="s">
        <v>475</v>
      </c>
      <c r="F5" s="5"/>
      <c r="G5" s="5" t="s">
        <v>479</v>
      </c>
      <c r="H5" s="5">
        <v>24</v>
      </c>
    </row>
    <row r="6" spans="1:8">
      <c r="A6" s="5" t="s">
        <v>58</v>
      </c>
      <c r="B6" s="5" t="s">
        <v>98</v>
      </c>
      <c r="C6" s="9">
        <v>41</v>
      </c>
      <c r="D6" s="9">
        <v>0</v>
      </c>
      <c r="E6" s="5" t="s">
        <v>475</v>
      </c>
      <c r="F6" s="5"/>
      <c r="G6" s="5" t="s">
        <v>480</v>
      </c>
      <c r="H6" s="5">
        <v>10</v>
      </c>
    </row>
    <row r="7" spans="1:8">
      <c r="A7" s="5" t="s">
        <v>58</v>
      </c>
      <c r="B7" s="5" t="s">
        <v>121</v>
      </c>
      <c r="C7" s="9">
        <v>40</v>
      </c>
      <c r="D7" s="9"/>
      <c r="E7" s="5" t="s">
        <v>475</v>
      </c>
      <c r="F7" s="5"/>
      <c r="G7" s="5" t="s">
        <v>481</v>
      </c>
      <c r="H7" s="5">
        <v>0</v>
      </c>
    </row>
    <row r="8" spans="1:8">
      <c r="A8" s="5" t="s">
        <v>58</v>
      </c>
      <c r="B8" s="5" t="s">
        <v>132</v>
      </c>
      <c r="C8" s="9">
        <v>23</v>
      </c>
      <c r="D8" s="9"/>
      <c r="E8" s="5" t="s">
        <v>475</v>
      </c>
      <c r="F8" s="5"/>
      <c r="G8" s="5" t="s">
        <v>482</v>
      </c>
      <c r="H8" s="5">
        <v>0</v>
      </c>
    </row>
    <row r="9" spans="1:8">
      <c r="A9" s="5" t="s">
        <v>63</v>
      </c>
      <c r="B9" s="5" t="s">
        <v>33</v>
      </c>
      <c r="C9" s="9">
        <v>102</v>
      </c>
      <c r="D9" s="9">
        <v>0</v>
      </c>
      <c r="E9" s="5" t="s">
        <v>475</v>
      </c>
      <c r="F9" s="5"/>
      <c r="G9" s="5" t="s">
        <v>483</v>
      </c>
      <c r="H9" s="5">
        <v>0</v>
      </c>
    </row>
    <row r="10" spans="1:8">
      <c r="A10" s="5" t="s">
        <v>63</v>
      </c>
      <c r="B10" s="5" t="s">
        <v>47</v>
      </c>
      <c r="C10" s="9">
        <v>2</v>
      </c>
      <c r="D10" s="9"/>
      <c r="E10" s="5" t="s">
        <v>475</v>
      </c>
      <c r="F10" s="5"/>
      <c r="G10" s="5" t="s">
        <v>484</v>
      </c>
      <c r="H10" s="5">
        <v>23</v>
      </c>
    </row>
    <row r="11" spans="1:8">
      <c r="A11" s="5" t="s">
        <v>63</v>
      </c>
      <c r="B11" s="5" t="s">
        <v>108</v>
      </c>
      <c r="C11" s="9">
        <v>0</v>
      </c>
      <c r="D11" s="9"/>
      <c r="E11" s="5" t="s">
        <v>475</v>
      </c>
      <c r="F11" s="5"/>
      <c r="G11" s="5"/>
      <c r="H11" s="5"/>
    </row>
    <row r="12" spans="1:8">
      <c r="A12" s="5" t="s">
        <v>86</v>
      </c>
      <c r="B12" s="5" t="s">
        <v>227</v>
      </c>
      <c r="C12" s="9">
        <v>39</v>
      </c>
      <c r="D12" s="9">
        <v>0</v>
      </c>
      <c r="E12" s="5" t="s">
        <v>475</v>
      </c>
      <c r="F12" s="5"/>
      <c r="G12" s="5"/>
      <c r="H12" s="5"/>
    </row>
    <row r="13" spans="1:8">
      <c r="A13" s="5" t="s">
        <v>86</v>
      </c>
      <c r="B13" s="5" t="s">
        <v>485</v>
      </c>
      <c r="C13" s="9">
        <v>0</v>
      </c>
      <c r="D13" s="9"/>
      <c r="E13" s="5" t="s">
        <v>475</v>
      </c>
      <c r="F13" s="5"/>
      <c r="G13" s="5"/>
      <c r="H13" s="5"/>
    </row>
    <row r="14" spans="1:8">
      <c r="A14" s="5" t="s">
        <v>86</v>
      </c>
      <c r="B14" s="5" t="s">
        <v>108</v>
      </c>
      <c r="C14" s="9">
        <v>65</v>
      </c>
      <c r="D14" s="9"/>
      <c r="E14" s="5" t="s">
        <v>475</v>
      </c>
      <c r="F14" s="5"/>
      <c r="G14" s="5"/>
      <c r="H14" s="5"/>
    </row>
    <row r="15" spans="1:8">
      <c r="A15" s="5" t="s">
        <v>90</v>
      </c>
      <c r="B15" s="5" t="s">
        <v>7</v>
      </c>
      <c r="C15" s="9">
        <v>26</v>
      </c>
      <c r="D15" s="9">
        <v>0</v>
      </c>
      <c r="E15" s="5" t="s">
        <v>475</v>
      </c>
      <c r="F15" s="5"/>
      <c r="G15" s="5"/>
      <c r="H15" s="5"/>
    </row>
    <row r="16" spans="1:8">
      <c r="A16" s="5" t="s">
        <v>90</v>
      </c>
      <c r="B16" s="5" t="s">
        <v>9</v>
      </c>
      <c r="C16" s="9">
        <v>57</v>
      </c>
      <c r="D16" s="9"/>
      <c r="E16" s="5" t="s">
        <v>475</v>
      </c>
      <c r="F16" s="5"/>
      <c r="G16" s="5"/>
      <c r="H16" s="5"/>
    </row>
    <row r="17" spans="1:8">
      <c r="A17" s="5" t="s">
        <v>90</v>
      </c>
      <c r="B17" s="5" t="s">
        <v>170</v>
      </c>
      <c r="C17" s="9">
        <v>21</v>
      </c>
      <c r="D17" s="9"/>
      <c r="E17" s="5" t="s">
        <v>475</v>
      </c>
      <c r="F17" s="5"/>
      <c r="G17" s="5"/>
      <c r="H17" s="5"/>
    </row>
    <row r="18" spans="1:8">
      <c r="A18" s="5" t="s">
        <v>71</v>
      </c>
      <c r="B18" s="5" t="s">
        <v>123</v>
      </c>
      <c r="C18" s="9">
        <v>17</v>
      </c>
      <c r="D18" s="9">
        <v>0</v>
      </c>
      <c r="E18" s="5" t="s">
        <v>475</v>
      </c>
      <c r="F18" s="5"/>
      <c r="G18" s="5"/>
      <c r="H18" s="5"/>
    </row>
    <row r="19" spans="1:8">
      <c r="A19" s="5" t="s">
        <v>71</v>
      </c>
      <c r="B19" s="5" t="s">
        <v>273</v>
      </c>
      <c r="C19" s="9">
        <v>11</v>
      </c>
      <c r="D19" s="9"/>
      <c r="E19" s="5" t="s">
        <v>475</v>
      </c>
      <c r="F19" s="5"/>
      <c r="G19" s="5"/>
      <c r="H19" s="5"/>
    </row>
    <row r="20" spans="1:8">
      <c r="A20" s="5" t="s">
        <v>71</v>
      </c>
      <c r="B20" s="5" t="s">
        <v>102</v>
      </c>
      <c r="C20" s="9">
        <v>49</v>
      </c>
      <c r="D20" s="9"/>
      <c r="E20" s="5" t="s">
        <v>475</v>
      </c>
      <c r="F20" s="5"/>
      <c r="G20" s="5"/>
      <c r="H20" s="5"/>
    </row>
    <row r="21" spans="1:8">
      <c r="A21" s="5" t="s">
        <v>71</v>
      </c>
      <c r="B21" s="5" t="s">
        <v>338</v>
      </c>
      <c r="C21" s="9">
        <v>8</v>
      </c>
      <c r="D21" s="9"/>
      <c r="E21" s="5" t="s">
        <v>475</v>
      </c>
      <c r="F21" s="5"/>
      <c r="G21" s="5"/>
      <c r="H21" s="5"/>
    </row>
    <row r="22" spans="1:8">
      <c r="A22" s="5" t="s">
        <v>71</v>
      </c>
      <c r="B22" s="5" t="s">
        <v>199</v>
      </c>
      <c r="C22" s="9">
        <v>2</v>
      </c>
      <c r="D22" s="9"/>
      <c r="E22" s="5" t="s">
        <v>475</v>
      </c>
      <c r="F22" s="5"/>
      <c r="G22" s="5"/>
      <c r="H22" s="5"/>
    </row>
    <row r="23" spans="1:8">
      <c r="A23" s="5" t="s">
        <v>71</v>
      </c>
      <c r="B23" s="5" t="s">
        <v>210</v>
      </c>
      <c r="C23" s="9">
        <v>9</v>
      </c>
      <c r="D23" s="9"/>
      <c r="E23" s="5" t="s">
        <v>475</v>
      </c>
      <c r="F23" s="5"/>
      <c r="G23" s="5"/>
      <c r="H23" s="5"/>
    </row>
    <row r="24" spans="1:8">
      <c r="A24" s="5" t="s">
        <v>71</v>
      </c>
      <c r="B24" s="5" t="s">
        <v>220</v>
      </c>
      <c r="C24" s="9">
        <v>1</v>
      </c>
      <c r="D24" s="9"/>
      <c r="E24" s="5" t="s">
        <v>475</v>
      </c>
      <c r="F24" s="5"/>
      <c r="G24" s="5"/>
      <c r="H24" s="5"/>
    </row>
    <row r="25" spans="1:8">
      <c r="A25" s="5" t="s">
        <v>71</v>
      </c>
      <c r="B25" s="5" t="s">
        <v>286</v>
      </c>
      <c r="C25" s="9">
        <v>2</v>
      </c>
      <c r="D25" s="9"/>
      <c r="E25" s="5" t="s">
        <v>475</v>
      </c>
      <c r="F25" s="5"/>
      <c r="G25" s="5"/>
      <c r="H25" s="5"/>
    </row>
    <row r="26" spans="1:8">
      <c r="A26" s="5" t="s">
        <v>71</v>
      </c>
      <c r="B26" s="5" t="s">
        <v>486</v>
      </c>
      <c r="C26" s="9">
        <v>0</v>
      </c>
      <c r="D26" s="9"/>
      <c r="E26" s="5" t="s">
        <v>475</v>
      </c>
      <c r="F26" s="5"/>
      <c r="G26" s="5"/>
      <c r="H26" s="5"/>
    </row>
    <row r="27" spans="1:8">
      <c r="A27" s="5" t="s">
        <v>71</v>
      </c>
      <c r="B27" s="5" t="s">
        <v>487</v>
      </c>
      <c r="C27" s="9">
        <v>0</v>
      </c>
      <c r="D27" s="9"/>
      <c r="E27" s="5" t="s">
        <v>475</v>
      </c>
      <c r="F27" s="5"/>
      <c r="G27" s="5"/>
      <c r="H27" s="5"/>
    </row>
    <row r="28" spans="1:8">
      <c r="A28" s="5" t="s">
        <v>71</v>
      </c>
      <c r="B28" s="5" t="s">
        <v>488</v>
      </c>
      <c r="C28" s="9">
        <v>0</v>
      </c>
      <c r="D28" s="9"/>
      <c r="E28" s="5" t="s">
        <v>475</v>
      </c>
      <c r="F28" s="5"/>
      <c r="G28" s="5"/>
      <c r="H28" s="5"/>
    </row>
    <row r="29" spans="1:8">
      <c r="A29" s="5" t="s">
        <v>71</v>
      </c>
      <c r="B29" s="5" t="s">
        <v>489</v>
      </c>
      <c r="C29" s="9">
        <v>0</v>
      </c>
      <c r="D29" s="9"/>
      <c r="E29" s="5" t="s">
        <v>475</v>
      </c>
      <c r="F29" s="5"/>
      <c r="G29" s="5"/>
      <c r="H29" s="5"/>
    </row>
    <row r="30" spans="1:8">
      <c r="A30" s="5" t="s">
        <v>71</v>
      </c>
      <c r="B30" s="5" t="s">
        <v>133</v>
      </c>
      <c r="C30" s="9">
        <v>1</v>
      </c>
      <c r="D30" s="9"/>
      <c r="E30" s="5" t="s">
        <v>475</v>
      </c>
      <c r="F30" s="5"/>
      <c r="G30" s="5"/>
      <c r="H30" s="5"/>
    </row>
    <row r="31" spans="1:8">
      <c r="A31" s="5" t="s">
        <v>71</v>
      </c>
      <c r="B31" s="5" t="s">
        <v>257</v>
      </c>
      <c r="C31" s="9">
        <v>4</v>
      </c>
      <c r="D31" s="9"/>
      <c r="E31" s="5" t="s">
        <v>475</v>
      </c>
      <c r="F31" s="5"/>
      <c r="G31" s="5"/>
      <c r="H31" s="5"/>
    </row>
    <row r="32" spans="1:8">
      <c r="A32" s="5" t="s">
        <v>71</v>
      </c>
      <c r="B32" s="5" t="s">
        <v>108</v>
      </c>
      <c r="C32" s="9">
        <v>0</v>
      </c>
      <c r="D32" s="9"/>
      <c r="E32" s="5" t="s">
        <v>475</v>
      </c>
      <c r="F32" s="5"/>
      <c r="G32" s="5"/>
      <c r="H32" s="5"/>
    </row>
    <row r="33" spans="1:8">
      <c r="A33" s="5" t="s">
        <v>72</v>
      </c>
      <c r="B33" s="5" t="s">
        <v>103</v>
      </c>
      <c r="C33" s="9">
        <v>74</v>
      </c>
      <c r="D33" s="9">
        <v>0</v>
      </c>
      <c r="E33" s="5" t="s">
        <v>475</v>
      </c>
      <c r="F33" s="5"/>
      <c r="G33" s="5"/>
      <c r="H33" s="5"/>
    </row>
    <row r="34" spans="1:8">
      <c r="A34" s="5" t="s">
        <v>72</v>
      </c>
      <c r="B34" s="5" t="s">
        <v>200</v>
      </c>
      <c r="C34" s="9">
        <v>13</v>
      </c>
      <c r="D34" s="9"/>
      <c r="E34" s="5" t="s">
        <v>475</v>
      </c>
      <c r="F34" s="5"/>
      <c r="G34" s="5"/>
      <c r="H34" s="5"/>
    </row>
    <row r="35" spans="1:8">
      <c r="A35" s="5" t="s">
        <v>72</v>
      </c>
      <c r="B35" s="5" t="s">
        <v>210</v>
      </c>
      <c r="C35" s="9">
        <v>9</v>
      </c>
      <c r="D35" s="9"/>
      <c r="E35" s="5" t="s">
        <v>475</v>
      </c>
      <c r="F35" s="5"/>
      <c r="G35" s="5"/>
      <c r="H35" s="5"/>
    </row>
    <row r="36" spans="1:8">
      <c r="A36" s="5" t="s">
        <v>72</v>
      </c>
      <c r="B36" s="5" t="s">
        <v>221</v>
      </c>
      <c r="C36" s="9">
        <v>7</v>
      </c>
      <c r="D36" s="9"/>
      <c r="E36" s="5" t="s">
        <v>475</v>
      </c>
      <c r="F36" s="5"/>
      <c r="G36" s="5"/>
      <c r="H36" s="5"/>
    </row>
    <row r="37" spans="1:8">
      <c r="A37" s="5" t="s">
        <v>72</v>
      </c>
      <c r="B37" s="5" t="s">
        <v>133</v>
      </c>
      <c r="C37" s="9">
        <v>1</v>
      </c>
      <c r="D37" s="9"/>
      <c r="E37" s="5" t="s">
        <v>475</v>
      </c>
      <c r="F37" s="5"/>
      <c r="G37" s="5"/>
      <c r="H37" s="5"/>
    </row>
    <row r="38" spans="1:8">
      <c r="A38" s="5" t="s">
        <v>72</v>
      </c>
      <c r="B38" s="5" t="s">
        <v>108</v>
      </c>
      <c r="C38" s="9">
        <v>0</v>
      </c>
      <c r="D38" s="9"/>
      <c r="E38" s="5" t="s">
        <v>475</v>
      </c>
      <c r="F38" s="5"/>
      <c r="G38" s="5"/>
      <c r="H38" s="5"/>
    </row>
    <row r="39" spans="1:8">
      <c r="A39" s="5" t="s">
        <v>73</v>
      </c>
      <c r="B39" s="5" t="s">
        <v>7</v>
      </c>
      <c r="C39" s="9">
        <v>87</v>
      </c>
      <c r="D39" s="9">
        <v>0</v>
      </c>
      <c r="E39" s="5" t="s">
        <v>475</v>
      </c>
      <c r="F39" s="5"/>
      <c r="G39" s="5"/>
      <c r="H39" s="5"/>
    </row>
    <row r="40" spans="1:8">
      <c r="A40" s="5" t="s">
        <v>73</v>
      </c>
      <c r="B40" s="5" t="s">
        <v>9</v>
      </c>
      <c r="C40" s="9">
        <v>17</v>
      </c>
      <c r="D40" s="9"/>
      <c r="E40" s="5" t="s">
        <v>475</v>
      </c>
      <c r="F40" s="5"/>
      <c r="G40" s="5"/>
      <c r="H40" s="5"/>
    </row>
    <row r="41" spans="1:8">
      <c r="A41" s="5" t="s">
        <v>73</v>
      </c>
      <c r="B41" s="5" t="s">
        <v>170</v>
      </c>
      <c r="C41" s="9">
        <v>0</v>
      </c>
      <c r="D41" s="9"/>
      <c r="E41" s="5" t="s">
        <v>475</v>
      </c>
      <c r="F41" s="5"/>
      <c r="G41" s="5"/>
      <c r="H41" s="5"/>
    </row>
    <row r="42" spans="1:8">
      <c r="A42" s="5" t="s">
        <v>75</v>
      </c>
      <c r="B42" s="5" t="s">
        <v>105</v>
      </c>
      <c r="C42" s="9">
        <v>29</v>
      </c>
      <c r="D42" s="9">
        <v>0</v>
      </c>
      <c r="E42" s="5" t="s">
        <v>475</v>
      </c>
      <c r="F42" s="5"/>
      <c r="G42" s="5"/>
      <c r="H42" s="5"/>
    </row>
    <row r="43" spans="1:8">
      <c r="A43" s="5" t="s">
        <v>75</v>
      </c>
      <c r="B43" s="5" t="s">
        <v>143</v>
      </c>
      <c r="C43" s="9">
        <v>31</v>
      </c>
      <c r="D43" s="9"/>
      <c r="E43" s="5" t="s">
        <v>475</v>
      </c>
      <c r="F43" s="5"/>
      <c r="G43" s="5"/>
      <c r="H43" s="5"/>
    </row>
    <row r="44" spans="1:8">
      <c r="A44" s="5" t="s">
        <v>75</v>
      </c>
      <c r="B44" s="5" t="s">
        <v>362</v>
      </c>
      <c r="C44" s="9">
        <v>6</v>
      </c>
      <c r="D44" s="9"/>
      <c r="E44" s="5" t="s">
        <v>475</v>
      </c>
      <c r="F44" s="5"/>
      <c r="G44" s="5"/>
      <c r="H44" s="5"/>
    </row>
    <row r="45" spans="1:8">
      <c r="A45" s="5" t="s">
        <v>75</v>
      </c>
      <c r="B45" s="5" t="s">
        <v>249</v>
      </c>
      <c r="C45" s="9">
        <v>1</v>
      </c>
      <c r="D45" s="9"/>
      <c r="E45" s="5" t="s">
        <v>475</v>
      </c>
      <c r="F45" s="5"/>
      <c r="G45" s="5"/>
      <c r="H45" s="5"/>
    </row>
    <row r="46" spans="1:8">
      <c r="A46" s="5" t="s">
        <v>75</v>
      </c>
      <c r="B46" s="5" t="s">
        <v>238</v>
      </c>
      <c r="C46" s="9">
        <v>9</v>
      </c>
      <c r="D46" s="9"/>
      <c r="E46" s="5" t="s">
        <v>475</v>
      </c>
      <c r="F46" s="5"/>
      <c r="G46" s="5"/>
      <c r="H46" s="5"/>
    </row>
    <row r="47" spans="1:8">
      <c r="A47" s="5" t="s">
        <v>75</v>
      </c>
      <c r="B47" s="5" t="s">
        <v>135</v>
      </c>
      <c r="C47" s="9">
        <v>9</v>
      </c>
      <c r="D47" s="9"/>
      <c r="E47" s="5" t="s">
        <v>475</v>
      </c>
      <c r="F47" s="5"/>
      <c r="G47" s="5"/>
      <c r="H47" s="5"/>
    </row>
    <row r="48" spans="1:8">
      <c r="A48" s="5" t="s">
        <v>75</v>
      </c>
      <c r="B48" s="5" t="s">
        <v>310</v>
      </c>
      <c r="C48" s="9">
        <v>2</v>
      </c>
      <c r="D48" s="9"/>
      <c r="E48" s="5" t="s">
        <v>475</v>
      </c>
      <c r="F48" s="5"/>
      <c r="G48" s="5"/>
      <c r="H48" s="5"/>
    </row>
    <row r="49" spans="1:8">
      <c r="A49" s="5" t="s">
        <v>75</v>
      </c>
      <c r="B49" s="5" t="s">
        <v>125</v>
      </c>
      <c r="C49" s="9">
        <v>12</v>
      </c>
      <c r="D49" s="9"/>
      <c r="E49" s="5" t="s">
        <v>475</v>
      </c>
      <c r="F49" s="5"/>
      <c r="G49" s="5"/>
      <c r="H49" s="5"/>
    </row>
    <row r="50" spans="1:8">
      <c r="A50" s="5" t="s">
        <v>75</v>
      </c>
      <c r="B50" s="5" t="s">
        <v>490</v>
      </c>
      <c r="C50" s="9">
        <v>0</v>
      </c>
      <c r="D50" s="9"/>
      <c r="E50" s="5" t="s">
        <v>475</v>
      </c>
      <c r="F50" s="5"/>
      <c r="G50" s="5"/>
      <c r="H50" s="5"/>
    </row>
    <row r="51" spans="1:8">
      <c r="A51" s="5" t="s">
        <v>75</v>
      </c>
      <c r="B51" s="5" t="s">
        <v>317</v>
      </c>
      <c r="C51" s="5">
        <v>1</v>
      </c>
      <c r="D51" s="5"/>
      <c r="E51" s="5" t="s">
        <v>475</v>
      </c>
      <c r="F51" s="5"/>
      <c r="G51" s="5"/>
      <c r="H51" s="5"/>
    </row>
    <row r="52" spans="1:8">
      <c r="A52" s="5" t="s">
        <v>75</v>
      </c>
      <c r="B52" s="5" t="s">
        <v>405</v>
      </c>
      <c r="C52" s="5">
        <v>1</v>
      </c>
      <c r="D52" s="5"/>
      <c r="E52" s="5" t="s">
        <v>475</v>
      </c>
      <c r="F52" s="5"/>
      <c r="G52" s="5"/>
      <c r="H52" s="5"/>
    </row>
    <row r="53" spans="1:8">
      <c r="A53" s="5" t="s">
        <v>75</v>
      </c>
      <c r="B53" s="5" t="s">
        <v>259</v>
      </c>
      <c r="C53" s="5">
        <v>2</v>
      </c>
      <c r="D53" s="5"/>
      <c r="E53" s="5" t="s">
        <v>475</v>
      </c>
      <c r="F53" s="5"/>
      <c r="G53" s="5"/>
      <c r="H53" s="5"/>
    </row>
    <row r="54" spans="1:8">
      <c r="A54" s="5" t="s">
        <v>75</v>
      </c>
      <c r="B54" s="5" t="s">
        <v>133</v>
      </c>
      <c r="C54" s="5">
        <v>1</v>
      </c>
      <c r="D54" s="5"/>
      <c r="E54" s="5" t="s">
        <v>475</v>
      </c>
      <c r="F54" s="5"/>
      <c r="G54" s="5"/>
      <c r="H54" s="5"/>
    </row>
    <row r="55" spans="1:8">
      <c r="A55" s="5" t="s">
        <v>75</v>
      </c>
      <c r="B55" s="5" t="s">
        <v>257</v>
      </c>
      <c r="C55" s="5">
        <v>0</v>
      </c>
      <c r="D55" s="5"/>
      <c r="E55" s="5" t="s">
        <v>475</v>
      </c>
      <c r="F55" s="5"/>
      <c r="G55" s="5"/>
      <c r="H55" s="5"/>
    </row>
    <row r="56" spans="1:8">
      <c r="A56" s="5" t="s">
        <v>75</v>
      </c>
      <c r="B56" s="5" t="s">
        <v>108</v>
      </c>
      <c r="C56" s="5">
        <v>0</v>
      </c>
      <c r="D56" s="5"/>
      <c r="E56" s="5" t="s">
        <v>475</v>
      </c>
      <c r="F56" s="5"/>
      <c r="G56" s="5"/>
      <c r="H56" s="5"/>
    </row>
    <row r="57" spans="1:8">
      <c r="A57" s="5" t="s">
        <v>76</v>
      </c>
      <c r="B57" s="5" t="s">
        <v>106</v>
      </c>
      <c r="C57" s="5">
        <v>36</v>
      </c>
      <c r="D57" s="5">
        <v>0</v>
      </c>
      <c r="E57" s="5" t="s">
        <v>475</v>
      </c>
      <c r="F57" s="5"/>
      <c r="G57" s="5"/>
      <c r="H57" s="5"/>
    </row>
    <row r="58" spans="1:8">
      <c r="A58" s="5" t="s">
        <v>76</v>
      </c>
      <c r="B58" s="5" t="s">
        <v>150</v>
      </c>
      <c r="C58" s="5">
        <v>32</v>
      </c>
      <c r="D58" s="5"/>
      <c r="E58" s="5" t="s">
        <v>475</v>
      </c>
      <c r="F58" s="5"/>
      <c r="G58" s="5"/>
      <c r="H58" s="5"/>
    </row>
    <row r="59" spans="1:8">
      <c r="A59" s="5" t="s">
        <v>76</v>
      </c>
      <c r="B59" s="5" t="s">
        <v>126</v>
      </c>
      <c r="C59" s="5">
        <v>13</v>
      </c>
      <c r="D59" s="5"/>
      <c r="E59" s="5" t="s">
        <v>475</v>
      </c>
      <c r="F59" s="5"/>
      <c r="G59" s="5"/>
      <c r="H59" s="5"/>
    </row>
    <row r="60" spans="1:8">
      <c r="A60" s="5" t="s">
        <v>76</v>
      </c>
      <c r="B60" s="5" t="s">
        <v>136</v>
      </c>
      <c r="C60" s="5">
        <v>19</v>
      </c>
      <c r="D60" s="5"/>
      <c r="E60" s="5" t="s">
        <v>475</v>
      </c>
      <c r="F60" s="5"/>
      <c r="G60" s="5"/>
      <c r="H60" s="5"/>
    </row>
    <row r="61" spans="1:8">
      <c r="A61" s="5" t="s">
        <v>76</v>
      </c>
      <c r="B61" s="5" t="s">
        <v>491</v>
      </c>
      <c r="C61" s="5">
        <v>0</v>
      </c>
      <c r="D61" s="5"/>
      <c r="E61" s="5" t="s">
        <v>475</v>
      </c>
      <c r="F61" s="5"/>
      <c r="G61" s="5"/>
      <c r="H61" s="5"/>
    </row>
    <row r="62" spans="1:8">
      <c r="A62" s="5" t="s">
        <v>76</v>
      </c>
      <c r="B62" s="5" t="s">
        <v>492</v>
      </c>
      <c r="C62" s="5">
        <v>0</v>
      </c>
      <c r="D62" s="5"/>
      <c r="E62" s="5" t="s">
        <v>475</v>
      </c>
      <c r="F62" s="5"/>
      <c r="G62" s="5"/>
      <c r="H62" s="5"/>
    </row>
    <row r="63" spans="1:8">
      <c r="A63" s="5" t="s">
        <v>76</v>
      </c>
      <c r="B63" s="5" t="s">
        <v>318</v>
      </c>
      <c r="C63" s="5">
        <v>1</v>
      </c>
      <c r="D63" s="5"/>
      <c r="E63" s="5" t="s">
        <v>475</v>
      </c>
      <c r="F63" s="5"/>
      <c r="G63" s="5"/>
      <c r="H63" s="5"/>
    </row>
    <row r="64" spans="1:8">
      <c r="A64" s="5" t="s">
        <v>76</v>
      </c>
      <c r="B64" s="5" t="s">
        <v>406</v>
      </c>
      <c r="C64" s="5">
        <v>1</v>
      </c>
      <c r="D64" s="5"/>
      <c r="E64" s="5" t="s">
        <v>475</v>
      </c>
      <c r="F64" s="5"/>
      <c r="G64" s="5"/>
      <c r="H64" s="5"/>
    </row>
    <row r="65" spans="1:8">
      <c r="A65" s="5" t="s">
        <v>76</v>
      </c>
      <c r="B65" s="5" t="s">
        <v>259</v>
      </c>
      <c r="C65" s="5">
        <v>2</v>
      </c>
      <c r="D65" s="5"/>
      <c r="E65" s="5" t="s">
        <v>475</v>
      </c>
      <c r="F65" s="5"/>
      <c r="G65" s="5"/>
      <c r="H65" s="5"/>
    </row>
    <row r="66" spans="1:8">
      <c r="A66" s="5" t="s">
        <v>76</v>
      </c>
      <c r="B66" s="5" t="s">
        <v>133</v>
      </c>
      <c r="C66" s="5">
        <v>0</v>
      </c>
      <c r="D66" s="5"/>
      <c r="E66" s="5" t="s">
        <v>475</v>
      </c>
      <c r="F66" s="5"/>
      <c r="G66" s="5"/>
      <c r="H66" s="5"/>
    </row>
    <row r="67" spans="1:8">
      <c r="A67" s="5" t="s">
        <v>76</v>
      </c>
      <c r="B67" s="5" t="s">
        <v>257</v>
      </c>
      <c r="C67" s="5">
        <v>0</v>
      </c>
      <c r="D67" s="5"/>
      <c r="E67" s="5" t="s">
        <v>475</v>
      </c>
      <c r="F67" s="5"/>
      <c r="G67" s="5"/>
      <c r="H67" s="5"/>
    </row>
    <row r="68" spans="1:8">
      <c r="A68" s="5" t="s">
        <v>76</v>
      </c>
      <c r="B68" s="5" t="s">
        <v>108</v>
      </c>
      <c r="C68" s="5">
        <v>0</v>
      </c>
      <c r="D68" s="5"/>
      <c r="E68" s="5" t="s">
        <v>475</v>
      </c>
      <c r="F68" s="5"/>
      <c r="G68" s="5"/>
      <c r="H68" s="5"/>
    </row>
    <row r="69" spans="1:8">
      <c r="A69" s="5" t="s">
        <v>77</v>
      </c>
      <c r="B69" s="5" t="s">
        <v>7</v>
      </c>
      <c r="C69" s="5">
        <v>71</v>
      </c>
      <c r="D69" s="5">
        <v>0</v>
      </c>
      <c r="E69" s="5" t="s">
        <v>475</v>
      </c>
      <c r="F69" s="5"/>
      <c r="G69" s="5"/>
      <c r="H69" s="5"/>
    </row>
    <row r="70" spans="1:8">
      <c r="A70" s="5" t="s">
        <v>77</v>
      </c>
      <c r="B70" s="5" t="s">
        <v>9</v>
      </c>
      <c r="C70" s="5">
        <v>33</v>
      </c>
      <c r="D70" s="5"/>
      <c r="E70" s="5" t="s">
        <v>475</v>
      </c>
      <c r="F70" s="5"/>
      <c r="G70" s="5"/>
      <c r="H70" s="5"/>
    </row>
    <row r="71" spans="1:8">
      <c r="A71" s="5" t="s">
        <v>77</v>
      </c>
      <c r="B71" s="5" t="s">
        <v>170</v>
      </c>
      <c r="C71" s="5">
        <v>0</v>
      </c>
      <c r="D71" s="5"/>
      <c r="E71" s="5" t="s">
        <v>475</v>
      </c>
      <c r="F71" s="5"/>
      <c r="G71" s="5"/>
      <c r="H71" s="5"/>
    </row>
    <row r="72" spans="1:8">
      <c r="A72" s="5" t="s">
        <v>55</v>
      </c>
      <c r="B72" s="5" t="s">
        <v>95</v>
      </c>
      <c r="C72" s="5">
        <v>47</v>
      </c>
      <c r="D72" s="5">
        <v>0</v>
      </c>
      <c r="E72" s="5" t="s">
        <v>475</v>
      </c>
      <c r="F72" s="5"/>
      <c r="G72" s="5"/>
      <c r="H72" s="5"/>
    </row>
    <row r="73" spans="1:8">
      <c r="A73" s="5" t="s">
        <v>55</v>
      </c>
      <c r="B73" s="5" t="s">
        <v>236</v>
      </c>
      <c r="C73" s="5">
        <v>41</v>
      </c>
      <c r="D73" s="5"/>
      <c r="E73" s="5" t="s">
        <v>475</v>
      </c>
      <c r="F73" s="5"/>
      <c r="G73" s="5"/>
      <c r="H73" s="5"/>
    </row>
    <row r="74" spans="1:8">
      <c r="A74" s="5" t="s">
        <v>55</v>
      </c>
      <c r="B74" s="5" t="s">
        <v>373</v>
      </c>
      <c r="C74" s="5">
        <v>16</v>
      </c>
      <c r="D74" s="5"/>
      <c r="E74" s="5" t="s">
        <v>475</v>
      </c>
      <c r="F74" s="5"/>
      <c r="G74" s="5"/>
      <c r="H74" s="5"/>
    </row>
    <row r="75" spans="1:8">
      <c r="A75" s="5" t="s">
        <v>55</v>
      </c>
      <c r="B75" s="5" t="s">
        <v>493</v>
      </c>
      <c r="C75" s="5">
        <v>0</v>
      </c>
      <c r="D75" s="5"/>
      <c r="E75" s="5" t="s">
        <v>475</v>
      </c>
      <c r="F75" s="5"/>
      <c r="G75" s="5"/>
      <c r="H75" s="5"/>
    </row>
    <row r="76" spans="1:8">
      <c r="A76" s="5" t="s">
        <v>55</v>
      </c>
      <c r="B76" s="5" t="s">
        <v>108</v>
      </c>
      <c r="C76" s="5">
        <v>0</v>
      </c>
      <c r="D76" s="5"/>
      <c r="E76" s="5" t="s">
        <v>475</v>
      </c>
      <c r="F76" s="5"/>
      <c r="G76" s="5"/>
      <c r="H76" s="5"/>
    </row>
    <row r="77" spans="1:8">
      <c r="A77" s="5" t="s">
        <v>67</v>
      </c>
      <c r="B77" s="5" t="s">
        <v>100</v>
      </c>
      <c r="C77" s="5">
        <v>88</v>
      </c>
      <c r="D77" s="5">
        <v>0</v>
      </c>
      <c r="E77" s="5" t="s">
        <v>475</v>
      </c>
      <c r="F77" s="5"/>
      <c r="G77" s="5"/>
      <c r="H77" s="5"/>
    </row>
    <row r="78" spans="1:8">
      <c r="A78" s="5" t="s">
        <v>67</v>
      </c>
      <c r="B78" s="5" t="s">
        <v>395</v>
      </c>
      <c r="C78" s="5">
        <v>2</v>
      </c>
      <c r="D78" s="5"/>
      <c r="E78" s="5" t="s">
        <v>475</v>
      </c>
      <c r="F78" s="5"/>
      <c r="G78" s="5"/>
      <c r="H78" s="5"/>
    </row>
    <row r="79" spans="1:8">
      <c r="A79" s="5" t="s">
        <v>67</v>
      </c>
      <c r="B79" s="5" t="s">
        <v>167</v>
      </c>
      <c r="C79" s="5">
        <v>6</v>
      </c>
      <c r="D79" s="5"/>
      <c r="E79" s="5" t="s">
        <v>475</v>
      </c>
      <c r="F79" s="5"/>
      <c r="G79" s="5"/>
      <c r="H79" s="5"/>
    </row>
    <row r="80" spans="1:8">
      <c r="A80" s="5" t="s">
        <v>67</v>
      </c>
      <c r="B80" s="5" t="s">
        <v>108</v>
      </c>
      <c r="C80" s="5">
        <v>8</v>
      </c>
      <c r="D80" s="5"/>
      <c r="E80" s="5" t="s">
        <v>475</v>
      </c>
      <c r="F80" s="5"/>
      <c r="G80" s="5"/>
      <c r="H80" s="5"/>
    </row>
    <row r="81" spans="1:8">
      <c r="A81" s="5" t="s">
        <v>56</v>
      </c>
      <c r="B81" s="5" t="s">
        <v>131</v>
      </c>
      <c r="C81" s="5">
        <v>1</v>
      </c>
      <c r="D81" s="5">
        <v>0</v>
      </c>
      <c r="E81" s="5" t="s">
        <v>475</v>
      </c>
      <c r="F81" s="5"/>
      <c r="G81" s="5"/>
      <c r="H81" s="5"/>
    </row>
    <row r="82" spans="1:8">
      <c r="A82" s="5" t="s">
        <v>56</v>
      </c>
      <c r="B82" s="5" t="s">
        <v>120</v>
      </c>
      <c r="C82" s="5">
        <v>8</v>
      </c>
      <c r="D82" s="5"/>
      <c r="E82" s="5" t="s">
        <v>475</v>
      </c>
      <c r="F82" s="5"/>
      <c r="G82" s="5"/>
      <c r="H82" s="5"/>
    </row>
    <row r="83" spans="1:8">
      <c r="A83" s="5" t="s">
        <v>56</v>
      </c>
      <c r="B83" s="5" t="s">
        <v>294</v>
      </c>
      <c r="C83" s="5">
        <v>3</v>
      </c>
      <c r="D83" s="5"/>
      <c r="E83" s="5" t="s">
        <v>475</v>
      </c>
      <c r="F83" s="5"/>
      <c r="G83" s="5"/>
      <c r="H83" s="5"/>
    </row>
    <row r="84" spans="1:8" ht="27.6">
      <c r="A84" s="5" t="s">
        <v>56</v>
      </c>
      <c r="B84" s="5" t="s">
        <v>402</v>
      </c>
      <c r="C84" s="5">
        <v>1</v>
      </c>
      <c r="D84" s="5"/>
      <c r="E84" s="5" t="s">
        <v>475</v>
      </c>
      <c r="F84" s="5"/>
      <c r="G84" s="5"/>
      <c r="H84" s="5"/>
    </row>
    <row r="85" spans="1:8">
      <c r="A85" s="5" t="s">
        <v>56</v>
      </c>
      <c r="B85" s="5" t="s">
        <v>96</v>
      </c>
      <c r="C85" s="5">
        <v>15</v>
      </c>
      <c r="D85" s="5"/>
      <c r="E85" s="5" t="s">
        <v>475</v>
      </c>
      <c r="F85" s="5"/>
      <c r="G85" s="5"/>
      <c r="H85" s="5"/>
    </row>
    <row r="86" spans="1:8">
      <c r="A86" s="5" t="s">
        <v>56</v>
      </c>
      <c r="B86" s="5" t="s">
        <v>299</v>
      </c>
      <c r="C86" s="5">
        <v>13</v>
      </c>
      <c r="D86" s="5"/>
      <c r="E86" s="5" t="s">
        <v>475</v>
      </c>
      <c r="F86" s="5"/>
      <c r="G86" s="5"/>
      <c r="H86" s="5"/>
    </row>
    <row r="87" spans="1:8" ht="27.6">
      <c r="A87" s="5" t="s">
        <v>56</v>
      </c>
      <c r="B87" s="5" t="s">
        <v>191</v>
      </c>
      <c r="C87" s="5">
        <v>4</v>
      </c>
      <c r="D87" s="5"/>
      <c r="E87" s="5" t="s">
        <v>475</v>
      </c>
      <c r="F87" s="5"/>
      <c r="G87" s="5"/>
      <c r="H87" s="5"/>
    </row>
    <row r="88" spans="1:8" ht="27.6">
      <c r="A88" s="5" t="s">
        <v>56</v>
      </c>
      <c r="B88" s="5" t="s">
        <v>265</v>
      </c>
      <c r="C88" s="5">
        <v>6</v>
      </c>
      <c r="D88" s="5"/>
      <c r="E88" s="5" t="s">
        <v>475</v>
      </c>
      <c r="F88" s="5"/>
      <c r="G88" s="5"/>
      <c r="H88" s="5"/>
    </row>
    <row r="89" spans="1:8" ht="27.6">
      <c r="A89" s="5" t="s">
        <v>56</v>
      </c>
      <c r="B89" s="5" t="s">
        <v>207</v>
      </c>
      <c r="C89" s="5">
        <v>1</v>
      </c>
      <c r="D89" s="5"/>
      <c r="E89" s="5" t="s">
        <v>475</v>
      </c>
      <c r="F89" s="5"/>
      <c r="G89" s="5"/>
      <c r="H89" s="5"/>
    </row>
    <row r="90" spans="1:8">
      <c r="A90" s="5" t="s">
        <v>56</v>
      </c>
      <c r="B90" s="5" t="s">
        <v>217</v>
      </c>
      <c r="C90" s="5">
        <v>9</v>
      </c>
      <c r="D90" s="5"/>
      <c r="E90" s="5" t="s">
        <v>475</v>
      </c>
      <c r="F90" s="5"/>
      <c r="G90" s="5"/>
      <c r="H90" s="5"/>
    </row>
    <row r="91" spans="1:8">
      <c r="A91" s="5" t="s">
        <v>56</v>
      </c>
      <c r="B91" s="5" t="s">
        <v>174</v>
      </c>
      <c r="C91" s="5">
        <v>9</v>
      </c>
      <c r="D91" s="5"/>
      <c r="E91" s="5" t="s">
        <v>475</v>
      </c>
      <c r="F91" s="5"/>
      <c r="G91" s="5"/>
      <c r="H91" s="5"/>
    </row>
    <row r="92" spans="1:8" ht="27.6">
      <c r="A92" s="5" t="s">
        <v>56</v>
      </c>
      <c r="B92" s="5" t="s">
        <v>237</v>
      </c>
      <c r="C92" s="5">
        <v>6</v>
      </c>
      <c r="D92" s="5"/>
      <c r="E92" s="5" t="s">
        <v>475</v>
      </c>
      <c r="F92" s="5"/>
      <c r="G92" s="5"/>
      <c r="H92" s="5"/>
    </row>
    <row r="93" spans="1:8" ht="27.6">
      <c r="A93" s="5" t="s">
        <v>56</v>
      </c>
      <c r="B93" s="5" t="s">
        <v>254</v>
      </c>
      <c r="C93" s="5">
        <v>2</v>
      </c>
      <c r="D93" s="5"/>
      <c r="E93" s="5" t="s">
        <v>475</v>
      </c>
      <c r="F93" s="5"/>
      <c r="G93" s="5"/>
      <c r="H93" s="5"/>
    </row>
    <row r="94" spans="1:8">
      <c r="A94" s="5" t="s">
        <v>56</v>
      </c>
      <c r="B94" s="5" t="s">
        <v>352</v>
      </c>
      <c r="C94" s="5">
        <v>3</v>
      </c>
      <c r="D94" s="5"/>
      <c r="E94" s="5" t="s">
        <v>475</v>
      </c>
      <c r="F94" s="5"/>
      <c r="G94" s="5"/>
      <c r="H94" s="5"/>
    </row>
    <row r="95" spans="1:8">
      <c r="A95" s="5" t="s">
        <v>56</v>
      </c>
      <c r="B95" s="5" t="s">
        <v>263</v>
      </c>
      <c r="C95" s="5">
        <v>2</v>
      </c>
      <c r="D95" s="5"/>
      <c r="E95" s="5" t="s">
        <v>475</v>
      </c>
      <c r="F95" s="5"/>
      <c r="G95" s="5"/>
      <c r="H95" s="5"/>
    </row>
    <row r="96" spans="1:8">
      <c r="A96" s="5" t="s">
        <v>56</v>
      </c>
      <c r="B96" s="5" t="s">
        <v>157</v>
      </c>
      <c r="C96" s="5">
        <v>9</v>
      </c>
      <c r="D96" s="5"/>
      <c r="E96" s="5" t="s">
        <v>475</v>
      </c>
      <c r="F96" s="5"/>
      <c r="G96" s="5"/>
      <c r="H96" s="5"/>
    </row>
    <row r="97" spans="1:8" ht="27.6">
      <c r="A97" s="5" t="s">
        <v>56</v>
      </c>
      <c r="B97" s="5" t="s">
        <v>409</v>
      </c>
      <c r="C97" s="5">
        <v>1</v>
      </c>
      <c r="D97" s="5"/>
      <c r="E97" s="5" t="s">
        <v>475</v>
      </c>
      <c r="F97" s="5"/>
      <c r="G97" s="5"/>
      <c r="H97" s="5"/>
    </row>
    <row r="98" spans="1:8">
      <c r="A98" s="5" t="s">
        <v>56</v>
      </c>
      <c r="B98" s="5" t="s">
        <v>139</v>
      </c>
      <c r="C98" s="5">
        <v>11</v>
      </c>
      <c r="D98" s="5"/>
      <c r="E98" s="5" t="s">
        <v>475</v>
      </c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</sheetData>
  <conditionalFormatting sqref="D2:D50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sku_catalog</vt:lpstr>
      <vt:lpstr>rejected_sku</vt:lpstr>
      <vt:lpstr>source_notes</vt:lpstr>
      <vt:lpstr>affiliate_notes</vt:lpstr>
      <vt:lpstr>glossary_check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2026-05-14T13:36:40Z</dcterms:created>
  <dcterms:modified xsi:type="dcterms:W3CDTF">2026-05-28T22:01:31Z</dcterms:modified>
</cp:coreProperties>
</file>